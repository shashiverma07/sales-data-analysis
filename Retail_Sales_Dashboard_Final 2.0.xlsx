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ashboard" sheetId="1" r:id="rId5"/>
    <sheet name="Cleaned Data" sheetId="2" r:id="rId6"/>
    <sheet name="Top Performers" sheetId="3" r:id="rId7"/>
    <sheet name="Monthly &amp; Regional Trends" sheetId="4" r:id="rId8"/>
    <sheet name="Insights &amp; Recommendations" sheetId="5" r:id="rId9"/>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<sst xmlns="http://schemas.openxmlformats.org/spreadsheetml/2006/main" uniqueCount="135">
  <si>
    <t>RETAIL SALES PERFORMANCE DASHBOARD</t>
  </si>
  <si>
    <t>FY2024 - FY2026  |  Select filters below to update every figure and chart instantly</t>
  </si>
  <si>
    <t>FILTERS  (interactive slicer-style controls)</t>
  </si>
  <si>
    <t>Region:</t>
  </si>
  <si>
    <t>All</t>
  </si>
  <si>
    <t>Salesperson:</t>
  </si>
  <si>
    <t>Product:</t>
  </si>
  <si>
    <t>Year:</t>
  </si>
  <si>
    <t>TOTAL REVENUE (Rs.)</t>
  </si>
  <si>
    <t>TOTAL UNITS SOLD</t>
  </si>
  <si>
    <t>TRANSACTIONS</t>
  </si>
  <si>
    <t>AVG ORDER VALUE (Rs.)</t>
  </si>
  <si>
    <t>FILTERED PERFORMANCE VIEWS</t>
  </si>
  <si>
    <t>Product</t>
  </si>
  <si>
    <t>Revenue</t>
  </si>
  <si>
    <t>Phone</t>
  </si>
  <si>
    <t>Accessory</t>
  </si>
  <si>
    <t>Laptop</t>
  </si>
  <si>
    <t>Tablet</t>
  </si>
  <si>
    <t>Region</t>
  </si>
  <si>
    <t>North</t>
  </si>
  <si>
    <t>South</t>
  </si>
  <si>
    <t>East</t>
  </si>
  <si>
    <t>West</t>
  </si>
  <si>
    <t>Month</t>
  </si>
  <si>
    <t>Jan-2024</t>
  </si>
  <si>
    <t>Feb-2024</t>
  </si>
  <si>
    <t>Mar-2024</t>
  </si>
  <si>
    <t>Apr-2024</t>
  </si>
  <si>
    <t>May-2024</t>
  </si>
  <si>
    <t>TOP PERFORMERS - OVERALL (ALL DATA, NOT FILTERED)</t>
  </si>
  <si>
    <t>Jun-2024</t>
  </si>
  <si>
    <t>Rank</t>
  </si>
  <si>
    <t>Top Salespersons</t>
  </si>
  <si>
    <t>Revenue (Rs.)</t>
  </si>
  <si>
    <t>Top Products</t>
  </si>
  <si>
    <t>Jul-2024</t>
  </si>
  <si>
    <r>
      <rPr>
        <sz val="10"/>
        <color indexed="8"/>
        <rFont val="Calibri"/>
      </rPr>
      <t>Priya</t>
    </r>
  </si>
  <si>
    <r>
      <rPr>
        <sz val="10"/>
        <color indexed="8"/>
        <rFont val="Calibri"/>
      </rPr>
      <t>Accessory</t>
    </r>
  </si>
  <si>
    <t>Aug-2024</t>
  </si>
  <si>
    <r>
      <rPr>
        <sz val="10"/>
        <color indexed="8"/>
        <rFont val="Calibri"/>
      </rPr>
      <t>Karan</t>
    </r>
  </si>
  <si>
    <r>
      <rPr>
        <sz val="10"/>
        <color indexed="8"/>
        <rFont val="Calibri"/>
      </rPr>
      <t>Phone</t>
    </r>
  </si>
  <si>
    <t>Sep-2024</t>
  </si>
  <si>
    <r>
      <rPr>
        <sz val="10"/>
        <color indexed="8"/>
        <rFont val="Calibri"/>
      </rPr>
      <t>Sneha</t>
    </r>
  </si>
  <si>
    <r>
      <rPr>
        <sz val="10"/>
        <color indexed="8"/>
        <rFont val="Calibri"/>
      </rPr>
      <t>Tablet</t>
    </r>
  </si>
  <si>
    <t>Oct-2024</t>
  </si>
  <si>
    <r>
      <rPr>
        <sz val="10"/>
        <color indexed="8"/>
        <rFont val="Calibri"/>
      </rPr>
      <t>Neha</t>
    </r>
  </si>
  <si>
    <r>
      <rPr>
        <sz val="10"/>
        <color indexed="8"/>
        <rFont val="Calibri"/>
      </rPr>
      <t>Laptop</t>
    </r>
  </si>
  <si>
    <t>Nov-2024</t>
  </si>
  <si>
    <r>
      <rPr>
        <sz val="10"/>
        <color indexed="8"/>
        <rFont val="Calibri"/>
      </rPr>
      <t>Amit</t>
    </r>
  </si>
  <si>
    <t>Dec-2024</t>
  </si>
  <si>
    <t>Jan-2025</t>
  </si>
  <si>
    <t>Feb-2025</t>
  </si>
  <si>
    <t>Mar-2025</t>
  </si>
  <si>
    <t>Apr-2025</t>
  </si>
  <si>
    <t>May-2025</t>
  </si>
  <si>
    <t>Jun-2025</t>
  </si>
  <si>
    <t>Jul-2025</t>
  </si>
  <si>
    <t>Aug-2025</t>
  </si>
  <si>
    <t>Sep-2025</t>
  </si>
  <si>
    <t>Oct-2025</t>
  </si>
  <si>
    <t>Nov-2025</t>
  </si>
  <si>
    <t>Dec-2025</t>
  </si>
  <si>
    <t>Jan-2026</t>
  </si>
  <si>
    <t>Feb-2026</t>
  </si>
  <si>
    <t>Mar-2026</t>
  </si>
  <si>
    <t>Apr-2026</t>
  </si>
  <si>
    <t>May-2026</t>
  </si>
  <si>
    <t>Jun-2026</t>
  </si>
  <si>
    <t>Jul-2026</t>
  </si>
  <si>
    <t>Aug-2026</t>
  </si>
  <si>
    <t>Sep-2026</t>
  </si>
  <si>
    <t>Date</t>
  </si>
  <si>
    <t>Salesperson</t>
  </si>
  <si>
    <t>Units Sold</t>
  </si>
  <si>
    <t>Unit Price (Rs.)</t>
  </si>
  <si>
    <t>Year</t>
  </si>
  <si>
    <t>Quarter</t>
  </si>
  <si>
    <t>Priya</t>
  </si>
  <si>
    <t>Q1</t>
  </si>
  <si>
    <t>Karan</t>
  </si>
  <si>
    <t>Amit</t>
  </si>
  <si>
    <t>Neha</t>
  </si>
  <si>
    <t>Sneha</t>
  </si>
  <si>
    <t>Rahul</t>
  </si>
  <si>
    <t>Q2</t>
  </si>
  <si>
    <t>Q3</t>
  </si>
  <si>
    <t>Q4</t>
  </si>
  <si>
    <t>Top Performers Analysis</t>
  </si>
  <si>
    <t>Ranked by total revenue generated across the full dataset</t>
  </si>
  <si>
    <t>Helper: All Salespersons (unranked)</t>
  </si>
  <si>
    <t>Top 5 Salespersons by Revenue</t>
  </si>
  <si>
    <t>Units</t>
  </si>
  <si>
    <t>Transactions</t>
  </si>
  <si>
    <t>Avg Order Value</t>
  </si>
  <si>
    <t>Avg Order Value (Rs.)</t>
  </si>
  <si>
    <t>Revenue Share %</t>
  </si>
  <si>
    <t>Top Products by Revenue (Note: dataset contains only 4 product categories)</t>
  </si>
  <si>
    <t>Helper: All Products (unranked)</t>
  </si>
  <si>
    <t>Monthly &amp; Regional Sales Trends</t>
  </si>
  <si>
    <t>All figures computed live from the Cleaned Data sheet</t>
  </si>
  <si>
    <t>Monthly Revenue &amp; Units Trend</t>
  </si>
  <si>
    <t>Regional Performance Summary</t>
  </si>
  <si>
    <t>Revenue by Region and Product (Rs.)</t>
  </si>
  <si>
    <t>INSIGHTS &amp; RECOMMENDATIONS</t>
  </si>
  <si>
    <t>Retail Sales Data Analysis  |  Period: Jan 2024 - Sep 2026</t>
  </si>
  <si>
    <t>Executive Summary</t>
  </si>
  <si>
    <t>The dataset covers 1,000 transactions recorded between January 2024 and September 2026, generating total revenue of Rs. 42.55 crore (Rs. 425,458,945) across 10,103 units sold. Revenue is broadly balanced across regions, product categories and the sales team, with the strongest region (North) and the strongest performer (Priya) each holding roughly a fifth of total revenue - indicating a healthy, non-concentrated business rather than dependence on a single driver.</t>
  </si>
  <si>
    <t>Data Cleaning Summary</t>
  </si>
  <si>
    <t>•  Source file contained 1,000 records across 7 fields (Date, Region, Salesperson, Product, Units Sold, Unit Price, Revenue); no missing values or duplicate rows were found.</t>
  </si>
  <si>
    <t>•  An empty, unlabeled helper column left over from the original export was identified and removed.</t>
  </si>
  <si>
    <t>•  Text fields (Region, Salesperson, Product) were trimmed of extra spaces and standardized to consistent capitalization to prevent duplicate categories (e.g. "north" vs "North").</t>
  </si>
  <si>
    <t>•  Revenue was recalculated as Units Sold x Unit Price using a live formula for every row, confirming 100% consistency with the original figures and making the sheet self-auditing going forward.</t>
  </si>
  <si>
    <t>•  Records were sorted chronologically and Year, Quarter and Month fields were added to support time-based analysis.</t>
  </si>
  <si>
    <t>Key Findings - Top Performers</t>
  </si>
  <si>
    <t>•  Priya is the top-performing salesperson with Rs. 8.03 crore in revenue (18.9% of the total), followed closely by Karan (17.2%) and Sneha (17.0%). The gap between the top and bottom performer is under 4 percentage points, showing consistent performance across the team rather than one standout outlier.</t>
  </si>
  <si>
    <t>•  Accessory is the leading product category by revenue (Rs. 11.01 crore, 25.9% share), narrowly ahead of Phone (25.6%), Tablet (24.5%) and Laptop (24.0%) - all four categories are within a tight 2-point band, so product mix is well diversified.</t>
  </si>
  <si>
    <t>Key Findings - Regional Trends</t>
  </si>
  <si>
    <t>•  North is the highest-earning region (Rs. 11.66 crore, 27.4%), closely followed by East (27.2%). South contributes 24.1% and West is the softest region at 21.3%, roughly Rs. 2.6 crore behind North.</t>
  </si>
  <si>
    <t>•  Within the North region, Accessory and Laptop are the strongest categories; in the East, Phone leads decisively; the region-by-product breakdown (see Monthly &amp; Regional Trends sheet) shows each region has a slightly different best-selling category, suggesting local demand patterns rather than one national bestseller.</t>
  </si>
  <si>
    <t>Key Findings - Monthly Trends</t>
  </si>
  <si>
    <t>•  January 2025 was the strongest month on record (Rs. 1.91 crore), while November 2024 was the weakest (Rs. 0.70 crore) - a swing of over 2.7x, pointing to a seasonal dip around Q4/November and a new-year rebound.</t>
  </si>
  <si>
    <t>•  On an average-per-month basis, 2025 was the strongest year (Rs. 1.35 crore/month) compared with 2024 (Rs. 1.22 crore/month); 2026 (Jan-Sep only) is tracking at Rs. 1.30 crore/month, in line with 2025's pace.</t>
  </si>
  <si>
    <t>•  Revenue shows a recurring pattern of dips around June and November each year, which is useful for planning inventory and staffing ahead of these months.</t>
  </si>
  <si>
    <t>Recommendations</t>
  </si>
  <si>
    <t>•  Investigate and document what Priya, Karan and Sneha are doing differently (customer approach, product focus, region) and use it as a lightweight coaching guide for Rahul and Amit, currently the two lowest performers.</t>
  </si>
  <si>
    <t>•  Run a targeted push (offers, staffing, marketing) in the West region to close its gap with North and East - even matching South's 24.1% share would add meaningful revenue.</t>
  </si>
  <si>
    <t>•  Plan promotional campaigns or bundle offers ahead of the recurring June and November dips to smooth out seasonality.</t>
  </si>
  <si>
    <t>•  Because product revenue is evenly split across all four categories, cross-sell bundles (e.g. Phone + Accessory) could lift average order value without needing to favor one category over another.</t>
  </si>
  <si>
    <t>•  Continue tracking data monthly using the interactive Dashboard filters so these trends can be re-checked as new transactions are added.</t>
  </si>
  <si>
    <t>How to Use This Workbook</t>
  </si>
  <si>
    <t>•  Cleaned Data: the single source of truth - all other sheets calculate from this sheet using formulas, so updating it will refresh the entire workbook.</t>
  </si>
  <si>
    <t>•  Top Performers: ranked, formula-driven Top 5 tables for salespersons and products.</t>
  </si>
  <si>
    <t>•  Monthly &amp; Regional Trends: full monthly trend line and regional/product breakdown tables and charts.</t>
  </si>
  <si>
    <t>•  Dashboard: one-page summary with Region, Salesperson, Product and Year drop-down filters at the top - change any of them and the KPI cards and all three charts update automatically, giving slicer-style interactivity.</t>
  </si>
</sst>
</file>

<file path=xl/styles.xml><?xml version="1.0" encoding="utf-8"?>
<styleSheet xmlns="http://schemas.openxmlformats.org/spreadsheetml/2006/main">
  <numFmts count="3">
    <numFmt numFmtId="0" formatCode="General"/>
    <numFmt numFmtId="59" formatCode="dd&quot;-&quot;mmm&quot;-&quot;yyyy"/>
    <numFmt numFmtId="60" formatCode="0.0%"/>
  </numFmts>
  <fonts count="26">
    <font>
      <sz val="11"/>
      <color indexed="8"/>
      <name val="Calibri"/>
    </font>
    <font>
      <sz val="12"/>
      <color indexed="8"/>
      <name val="Helvetica Neue"/>
    </font>
    <font>
      <sz val="15"/>
      <color indexed="8"/>
      <name val="Calibri"/>
    </font>
    <font>
      <sz val="20"/>
      <color indexed="9"/>
      <name val="Calibri"/>
    </font>
    <font>
      <sz val="11"/>
      <color indexed="12"/>
      <name val="Calibri"/>
    </font>
    <font>
      <sz val="11"/>
      <color indexed="9"/>
      <name val="Calibri"/>
    </font>
    <font>
      <sz val="11"/>
      <color indexed="10"/>
      <name val="Calibri"/>
    </font>
    <font>
      <sz val="10"/>
      <color indexed="9"/>
      <name val="Calibri"/>
    </font>
    <font>
      <sz val="18"/>
      <color indexed="13"/>
      <name val="Calibri"/>
    </font>
    <font>
      <sz val="10"/>
      <color indexed="8"/>
      <name val="Calibri"/>
    </font>
    <font>
      <sz val="9"/>
      <color indexed="9"/>
      <name val="Calibri"/>
    </font>
    <font>
      <sz val="16"/>
      <color indexed="10"/>
      <name val="Calibri"/>
    </font>
    <font>
      <sz val="10"/>
      <color indexed="17"/>
      <name val="Calibri"/>
    </font>
    <font>
      <sz val="9"/>
      <color indexed="18"/>
      <name val="Calibri"/>
    </font>
    <font>
      <sz val="13"/>
      <color indexed="10"/>
      <name val="Calibri"/>
    </font>
    <font>
      <sz val="9"/>
      <color indexed="8"/>
      <name val="Calibri"/>
    </font>
    <font>
      <sz val="18"/>
      <color indexed="8"/>
      <name val="Calibri"/>
    </font>
    <font>
      <sz val="14"/>
      <color indexed="8"/>
      <name val="Calibri"/>
    </font>
    <font>
      <sz val="13"/>
      <color indexed="8"/>
      <name val="Calibri"/>
    </font>
    <font>
      <sz val="15"/>
      <color indexed="8"/>
      <name val="Calibri"/>
    </font>
    <font>
      <sz val="12"/>
      <color indexed="10"/>
      <name val="Calibri"/>
    </font>
    <font>
      <sz val="10"/>
      <color indexed="8"/>
      <name val="Arial"/>
    </font>
    <font>
      <b val="1"/>
      <sz val="10"/>
      <color indexed="8"/>
      <name val="Calibri"/>
    </font>
    <font>
      <b val="1"/>
      <sz val="18"/>
      <color indexed="8"/>
      <name val="Calibri"/>
    </font>
    <font>
      <sz val="18"/>
      <color indexed="9"/>
      <name val="Calibri"/>
    </font>
    <font>
      <sz val="11"/>
      <color indexed="17"/>
      <name val="Calibri"/>
    </font>
  </fonts>
  <fills count="7">
    <fill>
      <patternFill patternType="none"/>
    </fill>
    <fill>
      <patternFill patternType="gray125"/>
    </fill>
    <fill>
      <patternFill patternType="solid">
        <fgColor indexed="10"/>
        <bgColor auto="1"/>
      </patternFill>
    </fill>
    <fill>
      <patternFill patternType="solid">
        <fgColor indexed="9"/>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s>
  <borders count="32">
    <border>
      <left/>
      <right/>
      <top/>
      <bottom/>
      <diagonal/>
    </border>
    <border>
      <left style="thin">
        <color indexed="11"/>
      </left>
      <right/>
      <top style="thin">
        <color indexed="11"/>
      </top>
      <bottom/>
      <diagonal/>
    </border>
    <border>
      <left/>
      <right/>
      <top style="thin">
        <color indexed="11"/>
      </top>
      <bottom/>
      <diagonal/>
    </border>
    <border>
      <left/>
      <right style="thin">
        <color indexed="11"/>
      </right>
      <top style="thin">
        <color indexed="11"/>
      </top>
      <bottom/>
      <diagonal/>
    </border>
    <border>
      <left style="thin">
        <color indexed="11"/>
      </left>
      <right/>
      <top/>
      <bottom/>
      <diagonal/>
    </border>
    <border>
      <left/>
      <right/>
      <top/>
      <bottom/>
      <diagonal/>
    </border>
    <border>
      <left/>
      <right style="thin">
        <color indexed="11"/>
      </right>
      <top/>
      <bottom/>
      <diagonal/>
    </border>
    <border>
      <left/>
      <right/>
      <top/>
      <bottom style="medium">
        <color indexed="13"/>
      </bottom>
      <diagonal/>
    </border>
    <border>
      <left/>
      <right style="medium">
        <color indexed="13"/>
      </right>
      <top/>
      <bottom/>
      <diagonal/>
    </border>
    <border>
      <left style="medium">
        <color indexed="13"/>
      </left>
      <right style="medium">
        <color indexed="13"/>
      </right>
      <top style="medium">
        <color indexed="13"/>
      </top>
      <bottom style="medium">
        <color indexed="13"/>
      </bottom>
      <diagonal/>
    </border>
    <border>
      <left style="medium">
        <color indexed="13"/>
      </left>
      <right/>
      <top/>
      <bottom/>
      <diagonal/>
    </border>
    <border>
      <left style="thin">
        <color indexed="11"/>
      </left>
      <right/>
      <top/>
      <bottom style="medium">
        <color indexed="13"/>
      </bottom>
      <diagonal/>
    </border>
    <border>
      <left/>
      <right/>
      <top style="medium">
        <color indexed="13"/>
      </top>
      <bottom style="medium">
        <color indexed="13"/>
      </bottom>
      <diagonal/>
    </border>
    <border>
      <left style="thin">
        <color indexed="11"/>
      </left>
      <right/>
      <top style="medium">
        <color indexed="13"/>
      </top>
      <bottom/>
      <diagonal/>
    </border>
    <border>
      <left/>
      <right/>
      <top style="medium">
        <color indexed="13"/>
      </top>
      <bottom/>
      <diagonal/>
    </border>
    <border>
      <left style="thin">
        <color indexed="11"/>
      </left>
      <right/>
      <top/>
      <bottom style="thin">
        <color indexed="15"/>
      </bottom>
      <diagonal/>
    </border>
    <border>
      <left/>
      <right/>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top/>
      <bottom/>
      <diagonal/>
    </border>
    <border>
      <left/>
      <right style="thin">
        <color indexed="15"/>
      </right>
      <top/>
      <bottom/>
      <diagonal/>
    </border>
    <border>
      <left/>
      <right/>
      <top style="thin">
        <color indexed="15"/>
      </top>
      <bottom/>
      <diagonal/>
    </border>
    <border>
      <left style="thin">
        <color indexed="11"/>
      </left>
      <right/>
      <top style="thin">
        <color indexed="15"/>
      </top>
      <bottom/>
      <diagonal/>
    </border>
    <border>
      <left style="thin">
        <color indexed="11"/>
      </left>
      <right/>
      <top/>
      <bottom style="thin">
        <color indexed="11"/>
      </bottom>
      <diagonal/>
    </border>
    <border>
      <left/>
      <right/>
      <top/>
      <bottom style="thin">
        <color indexed="11"/>
      </bottom>
      <diagonal/>
    </border>
    <border>
      <left/>
      <right style="thin">
        <color indexed="11"/>
      </right>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style="thin">
        <color indexed="11"/>
      </top>
      <bottom/>
      <diagonal/>
    </border>
    <border>
      <left/>
      <right style="thin">
        <color indexed="11"/>
      </right>
      <top style="thin">
        <color indexed="11"/>
      </top>
      <bottom style="thin">
        <color indexed="11"/>
      </bottom>
      <diagonal/>
    </border>
    <border>
      <left style="thin">
        <color indexed="15"/>
      </left>
      <right style="thin">
        <color indexed="11"/>
      </right>
      <top style="thin">
        <color indexed="11"/>
      </top>
      <bottom style="thin">
        <color indexed="11"/>
      </bottom>
      <diagonal/>
    </border>
    <border>
      <left style="thin">
        <color indexed="11"/>
      </left>
      <right style="thin">
        <color indexed="11"/>
      </right>
      <top style="thin">
        <color indexed="15"/>
      </top>
      <bottom/>
      <diagonal/>
    </border>
    <border>
      <left style="thin">
        <color indexed="11"/>
      </left>
      <right style="thin">
        <color indexed="11"/>
      </right>
      <top style="thin">
        <color indexed="15"/>
      </top>
      <bottom style="thin">
        <color indexed="11"/>
      </bottom>
      <diagonal/>
    </border>
    <border>
      <left style="thin">
        <color indexed="15"/>
      </left>
      <right style="thin">
        <color indexed="11"/>
      </right>
      <top style="thin">
        <color indexed="15"/>
      </top>
      <bottom style="thin">
        <color indexed="11"/>
      </bottom>
      <diagonal/>
    </border>
  </borders>
  <cellStyleXfs count="1">
    <xf numFmtId="0" fontId="0" applyNumberFormat="0" applyFont="1" applyFill="0" applyBorder="0" applyAlignment="1" applyProtection="0">
      <alignment vertical="bottom"/>
    </xf>
  </cellStyleXfs>
  <cellXfs count="10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xf>
    <xf numFmtId="1" fontId="3" fillId="2" borderId="2" applyNumberFormat="1" applyFont="1" applyFill="1" applyBorder="1" applyAlignment="1" applyProtection="0">
      <alignment horizontal="center" vertical="center"/>
    </xf>
    <xf numFmtId="0" fontId="0" borderId="2" applyNumberFormat="0" applyFont="1" applyFill="0" applyBorder="1" applyAlignment="1" applyProtection="0">
      <alignment vertical="bottom"/>
    </xf>
    <xf numFmtId="0" fontId="0" fillId="3" borderId="2" applyNumberFormat="0" applyFont="1" applyFill="1" applyBorder="1" applyAlignment="1" applyProtection="0">
      <alignment vertical="bottom"/>
    </xf>
    <xf numFmtId="0" fontId="0" borderId="3" applyNumberFormat="0" applyFont="1" applyFill="0" applyBorder="1" applyAlignment="1" applyProtection="0">
      <alignment vertical="bottom"/>
    </xf>
    <xf numFmtId="49" fontId="4" fillId="3" borderId="4" applyNumberFormat="1" applyFont="1" applyFill="1" applyBorder="1" applyAlignment="1" applyProtection="0">
      <alignment horizontal="center" vertical="center"/>
    </xf>
    <xf numFmtId="1" fontId="4" fillId="3" borderId="5" applyNumberFormat="1" applyFont="1" applyFill="1" applyBorder="1" applyAlignment="1" applyProtection="0">
      <alignment horizontal="center" vertical="center"/>
    </xf>
    <xf numFmtId="0" fontId="0" borderId="5" applyNumberFormat="0" applyFont="1" applyFill="0" applyBorder="1" applyAlignment="1" applyProtection="0">
      <alignment vertical="bottom"/>
    </xf>
    <xf numFmtId="0" fontId="0" fillId="3" borderId="5" applyNumberFormat="0" applyFont="1" applyFill="1" applyBorder="1" applyAlignment="1" applyProtection="0">
      <alignment vertical="bottom"/>
    </xf>
    <xf numFmtId="0" fontId="0" borderId="6" applyNumberFormat="0" applyFont="1" applyFill="0" applyBorder="1" applyAlignment="1" applyProtection="0">
      <alignment vertical="bottom"/>
    </xf>
    <xf numFmtId="0" fontId="0" fillId="3" borderId="4" applyNumberFormat="0" applyFont="1" applyFill="1" applyBorder="1" applyAlignment="1" applyProtection="0">
      <alignment vertical="bottom"/>
    </xf>
    <xf numFmtId="49" fontId="5" fillId="4" borderId="4" applyNumberFormat="1" applyFont="1" applyFill="1" applyBorder="1" applyAlignment="1" applyProtection="0">
      <alignment horizontal="left" vertical="center"/>
    </xf>
    <xf numFmtId="1" fontId="5" fillId="4" borderId="5" applyNumberFormat="1" applyFont="1" applyFill="1" applyBorder="1" applyAlignment="1" applyProtection="0">
      <alignment horizontal="left" vertical="center"/>
    </xf>
    <xf numFmtId="1" fontId="5" fillId="4" borderId="7" applyNumberFormat="1" applyFont="1" applyFill="1" applyBorder="1" applyAlignment="1" applyProtection="0">
      <alignment horizontal="left" vertical="center"/>
    </xf>
    <xf numFmtId="49" fontId="0" fillId="3" borderId="8" applyNumberFormat="1" applyFont="1" applyFill="1" applyBorder="1" applyAlignment="1" applyProtection="0">
      <alignment horizontal="right" vertical="center"/>
    </xf>
    <xf numFmtId="49" fontId="6" fillId="5" borderId="9" applyNumberFormat="1" applyFont="1" applyFill="1" applyBorder="1" applyAlignment="1" applyProtection="0">
      <alignment horizontal="center" vertical="center"/>
    </xf>
    <xf numFmtId="0" fontId="0" fillId="3" borderId="10" applyNumberFormat="0" applyFont="1" applyFill="1" applyBorder="1" applyAlignment="1" applyProtection="0">
      <alignment vertical="bottom"/>
    </xf>
    <xf numFmtId="0" fontId="0" fillId="3" borderId="11" applyNumberFormat="0" applyFont="1" applyFill="1" applyBorder="1" applyAlignment="1" applyProtection="0">
      <alignment vertical="bottom"/>
    </xf>
    <xf numFmtId="0" fontId="0" fillId="3" borderId="7" applyNumberFormat="0" applyFont="1" applyFill="1" applyBorder="1" applyAlignment="1" applyProtection="0">
      <alignment vertical="bottom"/>
    </xf>
    <xf numFmtId="0" fontId="0" fillId="3" borderId="12" applyNumberFormat="0" applyFont="1" applyFill="1" applyBorder="1" applyAlignment="1" applyProtection="0">
      <alignment vertical="bottom"/>
    </xf>
    <xf numFmtId="49" fontId="7" fillId="2" borderId="9" applyNumberFormat="1" applyFont="1" applyFill="1" applyBorder="1" applyAlignment="1" applyProtection="0">
      <alignment horizontal="center" vertical="center"/>
    </xf>
    <xf numFmtId="1" fontId="7" fillId="2" borderId="9" applyNumberFormat="1" applyFont="1" applyFill="1" applyBorder="1" applyAlignment="1" applyProtection="0">
      <alignment horizontal="center" vertical="center"/>
    </xf>
    <xf numFmtId="3" fontId="8" fillId="2" borderId="9" applyNumberFormat="1" applyFont="1" applyFill="1" applyBorder="1" applyAlignment="1" applyProtection="0">
      <alignment horizontal="center" vertical="center"/>
    </xf>
    <xf numFmtId="49" fontId="5" fillId="4" borderId="13" applyNumberFormat="1" applyFont="1" applyFill="1" applyBorder="1" applyAlignment="1" applyProtection="0">
      <alignment horizontal="left" vertical="center"/>
    </xf>
    <xf numFmtId="1" fontId="5" fillId="4" borderId="14" applyNumberFormat="1" applyFont="1" applyFill="1" applyBorder="1" applyAlignment="1" applyProtection="0">
      <alignment horizontal="left" vertical="center"/>
    </xf>
    <xf numFmtId="49" fontId="9" fillId="3" borderId="5" applyNumberFormat="1" applyFont="1" applyFill="1" applyBorder="1" applyAlignment="1" applyProtection="0">
      <alignment vertical="bottom"/>
    </xf>
    <xf numFmtId="49" fontId="0" fillId="3" borderId="5" applyNumberFormat="1" applyFont="1" applyFill="1" applyBorder="1" applyAlignment="1" applyProtection="0">
      <alignment vertical="bottom"/>
    </xf>
    <xf numFmtId="1" fontId="0" fillId="3" borderId="5" applyNumberFormat="1" applyFont="1" applyFill="1" applyBorder="1" applyAlignment="1" applyProtection="0">
      <alignment vertical="bottom"/>
    </xf>
    <xf numFmtId="49" fontId="5" fillId="4" borderId="15" applyNumberFormat="1" applyFont="1" applyFill="1" applyBorder="1" applyAlignment="1" applyProtection="0">
      <alignment horizontal="left" vertical="center"/>
    </xf>
    <xf numFmtId="1" fontId="5" fillId="4" borderId="16" applyNumberFormat="1" applyFont="1" applyFill="1" applyBorder="1" applyAlignment="1" applyProtection="0">
      <alignment horizontal="left" vertical="center"/>
    </xf>
    <xf numFmtId="49" fontId="10" fillId="2" borderId="17" applyNumberFormat="1" applyFont="1" applyFill="1" applyBorder="1" applyAlignment="1" applyProtection="0">
      <alignment horizontal="center" vertical="center"/>
    </xf>
    <xf numFmtId="0" fontId="0" fillId="3" borderId="18" applyNumberFormat="0" applyFont="1" applyFill="1" applyBorder="1" applyAlignment="1" applyProtection="0">
      <alignment vertical="bottom"/>
    </xf>
    <xf numFmtId="0" fontId="0" fillId="3" borderId="19" applyNumberFormat="0" applyFont="1" applyFill="1" applyBorder="1" applyAlignment="1" applyProtection="0">
      <alignment vertical="bottom"/>
    </xf>
    <xf numFmtId="1" fontId="9" fillId="6" borderId="17" applyNumberFormat="1" applyFont="1" applyFill="1" applyBorder="1" applyAlignment="1" applyProtection="0">
      <alignment horizontal="center" vertical="center"/>
    </xf>
    <xf numFmtId="0" fontId="9" fillId="6" borderId="17" applyNumberFormat="0" applyFont="1" applyFill="1" applyBorder="1" applyAlignment="1" applyProtection="0">
      <alignment horizontal="center" vertical="center"/>
    </xf>
    <xf numFmtId="3" fontId="9" fillId="6" borderId="17" applyNumberFormat="1" applyFont="1" applyFill="1" applyBorder="1" applyAlignment="1" applyProtection="0">
      <alignment horizontal="center" vertical="center"/>
    </xf>
    <xf numFmtId="1" fontId="9" fillId="3" borderId="17" applyNumberFormat="1" applyFont="1" applyFill="1" applyBorder="1" applyAlignment="1" applyProtection="0">
      <alignment horizontal="center" vertical="center"/>
    </xf>
    <xf numFmtId="0" fontId="9" fillId="3" borderId="17" applyNumberFormat="0" applyFont="1" applyFill="1" applyBorder="1" applyAlignment="1" applyProtection="0">
      <alignment horizontal="center" vertical="center"/>
    </xf>
    <xf numFmtId="3" fontId="9" fillId="3" borderId="17" applyNumberFormat="1" applyFont="1" applyFill="1" applyBorder="1" applyAlignment="1" applyProtection="0">
      <alignment horizontal="center" vertical="center"/>
    </xf>
    <xf numFmtId="0" fontId="0" fillId="3" borderId="20" applyNumberFormat="0" applyFont="1" applyFill="1" applyBorder="1" applyAlignment="1" applyProtection="0">
      <alignment vertical="bottom"/>
    </xf>
    <xf numFmtId="0" fontId="0" fillId="3" borderId="21" applyNumberFormat="0" applyFont="1" applyFill="1" applyBorder="1" applyAlignment="1" applyProtection="0">
      <alignment vertical="bottom"/>
    </xf>
    <xf numFmtId="0" fontId="0" fillId="3" borderId="22" applyNumberFormat="0" applyFont="1" applyFill="1" applyBorder="1" applyAlignment="1" applyProtection="0">
      <alignment vertical="bottom"/>
    </xf>
    <xf numFmtId="0" fontId="0" fillId="3" borderId="23" applyNumberFormat="0" applyFont="1" applyFill="1" applyBorder="1" applyAlignment="1" applyProtection="0">
      <alignment vertical="bottom"/>
    </xf>
    <xf numFmtId="0" fontId="0" borderId="23" applyNumberFormat="0" applyFont="1" applyFill="0" applyBorder="1" applyAlignment="1" applyProtection="0">
      <alignment vertical="bottom"/>
    </xf>
    <xf numFmtId="49" fontId="0" fillId="3" borderId="23" applyNumberFormat="1" applyFont="1" applyFill="1" applyBorder="1" applyAlignment="1" applyProtection="0">
      <alignment vertical="bottom"/>
    </xf>
    <xf numFmtId="1" fontId="0" fillId="3" borderId="23" applyNumberFormat="1" applyFont="1" applyFill="1" applyBorder="1" applyAlignment="1" applyProtection="0">
      <alignment vertical="bottom"/>
    </xf>
    <xf numFmtId="0" fontId="0" borderId="24" applyNumberFormat="0" applyFont="1" applyFill="0" applyBorder="1" applyAlignment="1" applyProtection="0">
      <alignment vertical="bottom"/>
    </xf>
    <xf numFmtId="0" fontId="0" applyNumberFormat="1" applyFont="1" applyFill="0" applyBorder="0" applyAlignment="1" applyProtection="0">
      <alignment vertical="bottom"/>
    </xf>
    <xf numFmtId="49" fontId="5" fillId="2" borderId="17" applyNumberFormat="1" applyFont="1" applyFill="1" applyBorder="1" applyAlignment="1" applyProtection="0">
      <alignment horizontal="center" vertical="center"/>
    </xf>
    <xf numFmtId="59" fontId="0" fillId="6" borderId="17" applyNumberFormat="1" applyFont="1" applyFill="1" applyBorder="1" applyAlignment="1" applyProtection="0">
      <alignment vertical="bottom"/>
    </xf>
    <xf numFmtId="49" fontId="0" fillId="6" borderId="17" applyNumberFormat="1" applyFont="1" applyFill="1" applyBorder="1" applyAlignment="1" applyProtection="0">
      <alignment vertical="bottom"/>
    </xf>
    <xf numFmtId="1" fontId="0" fillId="6" borderId="17" applyNumberFormat="1" applyFont="1" applyFill="1" applyBorder="1" applyAlignment="1" applyProtection="0">
      <alignment vertical="bottom"/>
    </xf>
    <xf numFmtId="3" fontId="0" fillId="6" borderId="17" applyNumberFormat="1" applyFont="1" applyFill="1" applyBorder="1" applyAlignment="1" applyProtection="0">
      <alignment vertical="bottom"/>
    </xf>
    <xf numFmtId="0" fontId="0" fillId="6" borderId="17" applyNumberFormat="0" applyFont="1" applyFill="1" applyBorder="1" applyAlignment="1" applyProtection="0">
      <alignment vertical="bottom"/>
    </xf>
    <xf numFmtId="59" fontId="0" fillId="3" borderId="17" applyNumberFormat="1" applyFont="1" applyFill="1" applyBorder="1" applyAlignment="1" applyProtection="0">
      <alignment vertical="bottom"/>
    </xf>
    <xf numFmtId="49" fontId="0" fillId="3" borderId="17" applyNumberFormat="1" applyFont="1" applyFill="1" applyBorder="1" applyAlignment="1" applyProtection="0">
      <alignment vertical="bottom"/>
    </xf>
    <xf numFmtId="1" fontId="0" fillId="3" borderId="17" applyNumberFormat="1" applyFont="1" applyFill="1" applyBorder="1" applyAlignment="1" applyProtection="0">
      <alignment vertical="bottom"/>
    </xf>
    <xf numFmtId="3" fontId="0" fillId="3" borderId="17" applyNumberFormat="1" applyFont="1" applyFill="1" applyBorder="1" applyAlignment="1" applyProtection="0">
      <alignment vertical="bottom"/>
    </xf>
    <xf numFmtId="0" fontId="0" fillId="3" borderId="17" applyNumberFormat="0" applyFont="1" applyFill="1" applyBorder="1" applyAlignment="1" applyProtection="0">
      <alignment vertical="bottom"/>
    </xf>
    <xf numFmtId="0" fontId="0" applyNumberFormat="1" applyFont="1" applyFill="0" applyBorder="0" applyAlignment="1" applyProtection="0">
      <alignment vertical="bottom"/>
    </xf>
    <xf numFmtId="49" fontId="11" fillId="3" borderId="25" applyNumberFormat="1" applyFont="1" applyFill="1" applyBorder="1" applyAlignment="1" applyProtection="0">
      <alignment vertical="bottom"/>
    </xf>
    <xf numFmtId="1" fontId="11" fillId="3" borderId="25" applyNumberFormat="1" applyFont="1" applyFill="1" applyBorder="1" applyAlignment="1" applyProtection="0">
      <alignment vertical="bottom"/>
    </xf>
    <xf numFmtId="0" fontId="0" borderId="25" applyNumberFormat="0" applyFont="1" applyFill="0" applyBorder="1" applyAlignment="1" applyProtection="0">
      <alignment vertical="bottom"/>
    </xf>
    <xf numFmtId="0" fontId="0" fillId="3" borderId="25" applyNumberFormat="0" applyFont="1" applyFill="1" applyBorder="1" applyAlignment="1" applyProtection="0">
      <alignment vertical="bottom"/>
    </xf>
    <xf numFmtId="49" fontId="12" fillId="3" borderId="25" applyNumberFormat="1" applyFont="1" applyFill="1" applyBorder="1" applyAlignment="1" applyProtection="0">
      <alignment vertical="bottom"/>
    </xf>
    <xf numFmtId="1" fontId="12" fillId="3" borderId="25" applyNumberFormat="1" applyFont="1" applyFill="1" applyBorder="1" applyAlignment="1" applyProtection="0">
      <alignment vertical="bottom"/>
    </xf>
    <xf numFmtId="0" fontId="0" fillId="3" borderId="26" applyNumberFormat="0" applyFont="1" applyFill="1" applyBorder="1" applyAlignment="1" applyProtection="0">
      <alignment vertical="bottom"/>
    </xf>
    <xf numFmtId="49" fontId="13" fillId="3" borderId="25" applyNumberFormat="1" applyFont="1" applyFill="1" applyBorder="1" applyAlignment="1" applyProtection="0">
      <alignment vertical="bottom"/>
    </xf>
    <xf numFmtId="49" fontId="14" fillId="4" borderId="15" applyNumberFormat="1" applyFont="1" applyFill="1" applyBorder="1" applyAlignment="1" applyProtection="0">
      <alignment horizontal="left" vertical="center"/>
    </xf>
    <xf numFmtId="1" fontId="14" fillId="4" borderId="16" applyNumberFormat="1" applyFont="1" applyFill="1" applyBorder="1" applyAlignment="1" applyProtection="0">
      <alignment horizontal="left" vertical="center"/>
    </xf>
    <xf numFmtId="0" fontId="0" borderId="27" applyNumberFormat="0" applyFont="1" applyFill="0" applyBorder="1" applyAlignment="1" applyProtection="0">
      <alignment vertical="bottom"/>
    </xf>
    <xf numFmtId="49" fontId="15" fillId="3" borderId="25" applyNumberFormat="1" applyFont="1" applyFill="1" applyBorder="1" applyAlignment="1" applyProtection="0">
      <alignment vertical="bottom"/>
    </xf>
    <xf numFmtId="0" fontId="0" borderId="28" applyNumberFormat="0" applyFont="1" applyFill="0" applyBorder="1" applyAlignment="1" applyProtection="0">
      <alignment vertical="bottom"/>
    </xf>
    <xf numFmtId="49" fontId="0" fillId="3" borderId="25" applyNumberFormat="1" applyFont="1" applyFill="1" applyBorder="1" applyAlignment="1" applyProtection="0">
      <alignment vertical="bottom"/>
    </xf>
    <xf numFmtId="1" fontId="0" fillId="3" borderId="25" applyNumberFormat="1" applyFont="1" applyFill="1" applyBorder="1" applyAlignment="1" applyProtection="0">
      <alignment vertical="bottom"/>
    </xf>
    <xf numFmtId="1" fontId="0" fillId="6" borderId="17" applyNumberFormat="1" applyFont="1" applyFill="1" applyBorder="1" applyAlignment="1" applyProtection="0">
      <alignment horizontal="center" vertical="center"/>
    </xf>
    <xf numFmtId="0" fontId="0" fillId="6" borderId="17" applyNumberFormat="0" applyFont="1" applyFill="1" applyBorder="1" applyAlignment="1" applyProtection="0">
      <alignment horizontal="center" vertical="center"/>
    </xf>
    <xf numFmtId="3" fontId="0" fillId="6" borderId="17" applyNumberFormat="1" applyFont="1" applyFill="1" applyBorder="1" applyAlignment="1" applyProtection="0">
      <alignment horizontal="center" vertical="center"/>
    </xf>
    <xf numFmtId="60" fontId="0" fillId="6" borderId="17" applyNumberFormat="1" applyFont="1" applyFill="1" applyBorder="1" applyAlignment="1" applyProtection="0">
      <alignment horizontal="center" vertical="center"/>
    </xf>
    <xf numFmtId="1" fontId="0" fillId="3" borderId="17" applyNumberFormat="1" applyFont="1" applyFill="1" applyBorder="1" applyAlignment="1" applyProtection="0">
      <alignment horizontal="center" vertical="center"/>
    </xf>
    <xf numFmtId="0" fontId="0" fillId="3" borderId="17" applyNumberFormat="0" applyFont="1" applyFill="1" applyBorder="1" applyAlignment="1" applyProtection="0">
      <alignment horizontal="center" vertical="center"/>
    </xf>
    <xf numFmtId="3" fontId="0" fillId="3" borderId="17" applyNumberFormat="1" applyFont="1" applyFill="1" applyBorder="1" applyAlignment="1" applyProtection="0">
      <alignment horizontal="center" vertical="center"/>
    </xf>
    <xf numFmtId="60" fontId="0" fillId="3" borderId="17" applyNumberFormat="1" applyFont="1" applyFill="1" applyBorder="1" applyAlignment="1" applyProtection="0">
      <alignment horizontal="center" vertical="center"/>
    </xf>
    <xf numFmtId="0" fontId="0" fillId="3" borderId="29" applyNumberFormat="0" applyFont="1" applyFill="1" applyBorder="1" applyAlignment="1" applyProtection="0">
      <alignment vertical="bottom"/>
    </xf>
    <xf numFmtId="0" fontId="0" fillId="3" borderId="30" applyNumberFormat="0" applyFont="1" applyFill="1" applyBorder="1" applyAlignment="1" applyProtection="0">
      <alignment vertical="bottom"/>
    </xf>
    <xf numFmtId="0" fontId="0" applyNumberFormat="1" applyFont="1" applyFill="0" applyBorder="0" applyAlignment="1" applyProtection="0">
      <alignment vertical="bottom"/>
    </xf>
    <xf numFmtId="1" fontId="11" borderId="25" applyNumberFormat="1" applyFont="1" applyFill="0" applyBorder="1" applyAlignment="1" applyProtection="0">
      <alignment vertical="bottom"/>
    </xf>
    <xf numFmtId="1" fontId="12" borderId="25" applyNumberFormat="1" applyFont="1" applyFill="0" applyBorder="1" applyAlignment="1" applyProtection="0">
      <alignment vertical="bottom"/>
    </xf>
    <xf numFmtId="49" fontId="20" fillId="4" borderId="15" applyNumberFormat="1" applyFont="1" applyFill="1" applyBorder="1" applyAlignment="1" applyProtection="0">
      <alignment horizontal="left" vertical="center"/>
    </xf>
    <xf numFmtId="1" fontId="20" fillId="4" borderId="16" applyNumberFormat="1" applyFont="1" applyFill="1" applyBorder="1" applyAlignment="1" applyProtection="0">
      <alignment horizontal="left" vertical="center"/>
    </xf>
    <xf numFmtId="0" fontId="0" fillId="3" borderId="27" applyNumberFormat="0" applyFont="1" applyFill="1" applyBorder="1" applyAlignment="1" applyProtection="0">
      <alignment vertical="bottom"/>
    </xf>
    <xf numFmtId="0" fontId="0" fillId="3" borderId="28" applyNumberFormat="0" applyFont="1" applyFill="1" applyBorder="1" applyAlignment="1" applyProtection="0">
      <alignment vertical="bottom"/>
    </xf>
    <xf numFmtId="49" fontId="0" fillId="6" borderId="17" applyNumberFormat="1" applyFont="1" applyFill="1" applyBorder="1" applyAlignment="1" applyProtection="0">
      <alignment horizontal="center" vertical="center"/>
    </xf>
    <xf numFmtId="49" fontId="0" fillId="3" borderId="17" applyNumberFormat="1" applyFont="1" applyFill="1" applyBorder="1" applyAlignment="1" applyProtection="0">
      <alignment horizontal="center" vertical="center"/>
    </xf>
    <xf numFmtId="0" fontId="0" fillId="3" borderId="31" applyNumberFormat="0" applyFont="1" applyFill="1" applyBorder="1" applyAlignment="1" applyProtection="0">
      <alignment vertical="bottom"/>
    </xf>
    <xf numFmtId="0" fontId="0" applyNumberFormat="1" applyFont="1" applyFill="0" applyBorder="0" applyAlignment="1" applyProtection="0">
      <alignment vertical="bottom"/>
    </xf>
    <xf numFmtId="49" fontId="24" fillId="2" borderId="1" applyNumberFormat="1" applyFont="1" applyFill="1" applyBorder="1" applyAlignment="1" applyProtection="0">
      <alignment vertical="bottom"/>
    </xf>
    <xf numFmtId="1" fontId="24" fillId="2" borderId="2" applyNumberFormat="1" applyFont="1" applyFill="1" applyBorder="1" applyAlignment="1" applyProtection="0">
      <alignment vertical="bottom"/>
    </xf>
    <xf numFmtId="49" fontId="25" fillId="3" borderId="4" applyNumberFormat="1" applyFont="1" applyFill="1" applyBorder="1" applyAlignment="1" applyProtection="0">
      <alignment vertical="bottom"/>
    </xf>
    <xf numFmtId="1" fontId="25" fillId="3" borderId="5" applyNumberFormat="1" applyFont="1" applyFill="1" applyBorder="1" applyAlignment="1" applyProtection="0">
      <alignment vertical="bottom"/>
    </xf>
    <xf numFmtId="49" fontId="14" fillId="4" borderId="4" applyNumberFormat="1" applyFont="1" applyFill="1" applyBorder="1" applyAlignment="1" applyProtection="0">
      <alignment vertical="bottom"/>
    </xf>
    <xf numFmtId="1" fontId="14" fillId="4" borderId="5" applyNumberFormat="1" applyFont="1" applyFill="1" applyBorder="1" applyAlignment="1" applyProtection="0">
      <alignment vertical="bottom"/>
    </xf>
    <xf numFmtId="49" fontId="0" fillId="3" borderId="4" applyNumberFormat="1" applyFont="1" applyFill="1" applyBorder="1" applyAlignment="1" applyProtection="0">
      <alignment horizontal="left" vertical="top" wrapText="1"/>
    </xf>
    <xf numFmtId="1" fontId="0" fillId="3" borderId="5" applyNumberFormat="1" applyFont="1" applyFill="1" applyBorder="1" applyAlignment="1" applyProtection="0">
      <alignment horizontal="left" vertical="top" wrapText="1"/>
    </xf>
    <xf numFmtId="0" fontId="0" fillId="3" borderId="22" applyNumberFormat="0" applyFont="1" applyFill="1" applyBorder="1" applyAlignment="1" applyProtection="0">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1f3864"/>
      <rgbColor rgb="ffaaaaaa"/>
      <rgbColor rgb="ff2e5395"/>
      <rgbColor rgb="ffc9a227"/>
      <rgbColor rgb="fffff2cc"/>
      <rgbColor rgb="ffbfbfbf"/>
      <rgbColor rgb="fff2f2f2"/>
      <rgbColor rgb="ff595959"/>
      <rgbColor rgb="ff808080"/>
      <rgbColor rgb="ff5d4876"/>
      <rgbColor rgb="ff367d90"/>
      <rgbColor rgb="ffd9d9d9"/>
      <rgbColor rgb="ff878787"/>
      <rgbColor rgb="ff4a7ebb"/>
      <rgbColor rgb="ff8c3a38"/>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400" u="none">
                <a:solidFill>
                  <a:srgbClr val="000000"/>
                </a:solidFill>
                <a:latin typeface="Calibri"/>
              </a:defRPr>
            </a:pPr>
            <a:r>
              <a:rPr b="0" i="0" strike="noStrike" sz="1400" u="none">
                <a:solidFill>
                  <a:srgbClr val="000000"/>
                </a:solidFill>
                <a:latin typeface="Calibri"/>
              </a:rPr>
              <a:t>Top 5 Salespersons by Revenue</a:t>
            </a:r>
          </a:p>
        </c:rich>
      </c:tx>
      <c:layout>
        <c:manualLayout>
          <c:xMode val="edge"/>
          <c:yMode val="edge"/>
          <c:x val="0.238382"/>
          <c:y val="0"/>
          <c:w val="0.523236"/>
          <c:h val="0.121635"/>
        </c:manualLayout>
      </c:layout>
      <c:overlay val="1"/>
      <c:spPr>
        <a:noFill/>
        <a:effectLst/>
      </c:spPr>
    </c:title>
    <c:autoTitleDeleted val="1"/>
    <c:plotArea>
      <c:layout>
        <c:manualLayout>
          <c:layoutTarget val="inner"/>
          <c:xMode val="edge"/>
          <c:yMode val="edge"/>
          <c:x val="0.253817"/>
          <c:y val="0.121635"/>
          <c:w val="0.741183"/>
          <c:h val="0.786396"/>
        </c:manualLayout>
      </c:layout>
      <c:barChart>
        <c:barDir val="col"/>
        <c:grouping val="clustered"/>
        <c:varyColors val="0"/>
        <c:ser>
          <c:idx val="0"/>
          <c:order val="0"/>
          <c:tx>
            <c:strRef>
              <c:f>'Top Performers'!$C$5</c:f>
              <c:strCache>
                <c:ptCount val="1"/>
                <c:pt idx="0">
                  <c:v>Revenue (Rs.)</c:v>
                </c:pt>
              </c:strCache>
            </c:strRef>
          </c:tx>
          <c:spPr>
            <a:solidFill>
              <a:srgbClr val="5D4976"/>
            </a:solidFill>
            <a:ln w="12700" cap="flat">
              <a:noFill/>
              <a:miter lim="400000"/>
            </a:ln>
            <a:effectLst/>
          </c:spPr>
          <c:invertIfNegative val="0"/>
          <c:dLbls>
            <c:numFmt formatCode="#,##0" sourceLinked="0"/>
            <c:txPr>
              <a:bodyPr/>
              <a:lstStyle/>
              <a:p>
                <a:pPr>
                  <a:defRPr b="0" i="0" strike="noStrike" sz="1800" u="none">
                    <a:solidFill>
                      <a:srgbClr val="000000"/>
                    </a:solidFill>
                    <a:latin typeface="Calibri"/>
                  </a:defRPr>
                </a:pPr>
              </a:p>
            </c:txPr>
            <c:dLblPos val="outEnd"/>
            <c:showLegendKey val="0"/>
            <c:showVal val="0"/>
            <c:showCatName val="0"/>
            <c:showSerName val="0"/>
            <c:showPercent val="0"/>
            <c:showBubbleSize val="0"/>
            <c:showLeaderLines val="0"/>
          </c:dLbls>
          <c:cat>
            <c:strRef>
              <c:f>'Top Performers'!$B$6:$B$10</c:f>
              <c:strCache>
                <c:ptCount val="5"/>
                <c:pt idx="0">
                  <c:v>Priya</c:v>
                </c:pt>
                <c:pt idx="1">
                  <c:v>Karan</c:v>
                </c:pt>
                <c:pt idx="2">
                  <c:v>Sneha</c:v>
                </c:pt>
                <c:pt idx="3">
                  <c:v>Neha</c:v>
                </c:pt>
                <c:pt idx="4">
                  <c:v>Amit</c:v>
                </c:pt>
              </c:strCache>
            </c:strRef>
          </c:cat>
          <c:val>
            <c:numRef>
              <c:f>'Top Performers'!$C$6:$C$10</c:f>
              <c:numCache>
                <c:ptCount val="5"/>
                <c:pt idx="0">
                  <c:v>80332014.000000</c:v>
                </c:pt>
                <c:pt idx="1">
                  <c:v>73021096.000000</c:v>
                </c:pt>
                <c:pt idx="2">
                  <c:v>72443697.000000</c:v>
                </c:pt>
                <c:pt idx="3">
                  <c:v>68554411.000000</c:v>
                </c:pt>
                <c:pt idx="4">
                  <c:v>67691309.000000</c:v>
                </c:pt>
              </c:numCache>
            </c:numRef>
          </c:val>
        </c:ser>
        <c:gapWidth val="150"/>
        <c:overlap val="0"/>
        <c:axId val="2094734552"/>
        <c:axId val="2094734553"/>
      </c:barChart>
      <c:catAx>
        <c:axId val="2094734552"/>
        <c:scaling>
          <c:orientation val="minMax"/>
        </c:scaling>
        <c:delete val="0"/>
        <c:axPos val="b"/>
        <c:numFmt formatCode="General" sourceLinked="1"/>
        <c:majorTickMark val="out"/>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title>
          <c:tx>
            <c:rich>
              <a:bodyPr rot="-5400000"/>
              <a:lstStyle/>
              <a:p>
                <a:pPr>
                  <a:defRPr b="0" i="0" strike="noStrike" sz="1800" u="none">
                    <a:solidFill>
                      <a:srgbClr val="000000"/>
                    </a:solidFill>
                    <a:latin typeface="Calibri"/>
                  </a:defRPr>
                </a:pPr>
                <a:r>
                  <a:rPr b="0" i="0" strike="noStrike" sz="1800" u="none">
                    <a:solidFill>
                      <a:srgbClr val="000000"/>
                    </a:solidFill>
                    <a:latin typeface="Calibri"/>
                  </a:rPr>
                  <a:t>Revenue (Rs.)</a:t>
                </a:r>
              </a:p>
            </c:rich>
          </c:tx>
          <c:layout/>
          <c:overlay val="1"/>
        </c:title>
        <c:numFmt formatCode="General" sourceLinked="1"/>
        <c:majorTickMark val="out"/>
        <c:minorTickMark val="none"/>
        <c:tickLblPos val="nextTo"/>
        <c:spPr>
          <a:ln w="12700" cap="flat">
            <a:solidFill>
              <a:srgbClr val="000000"/>
            </a:solidFill>
            <a:prstDash val="solid"/>
            <a:miter lim="400000"/>
          </a:ln>
        </c:spPr>
        <c:txPr>
          <a:bodyPr rot="0"/>
          <a:lstStyle/>
          <a:p>
            <a:pPr>
              <a:defRPr b="0" i="0" strike="noStrike" sz="1000" u="none">
                <a:solidFill>
                  <a:srgbClr val="000000"/>
                </a:solidFill>
                <a:latin typeface="Calibri"/>
              </a:defRPr>
            </a:pPr>
          </a:p>
        </c:txPr>
        <c:crossAx val="2094734552"/>
        <c:crosses val="autoZero"/>
        <c:crossBetween val="between"/>
        <c:majorUnit val="7.5e+06"/>
        <c:minorUnit val="3.75e+06"/>
      </c:valAx>
      <c:spPr>
        <a:solidFill>
          <a:srgbClr val="FFFFFF"/>
        </a:solidFill>
        <a:ln w="12700" cap="flat">
          <a:noFill/>
          <a:miter lim="400000"/>
        </a:ln>
        <a:effectLst/>
      </c:spPr>
    </c:plotArea>
    <c:plotVisOnly val="1"/>
    <c:dispBlanksAs val="gap"/>
  </c:chart>
  <c:spPr>
    <a:solidFill>
      <a:srgbClr val="FFFFFF"/>
    </a:solidFill>
    <a:ln>
      <a:noFill/>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500" u="none">
                <a:solidFill>
                  <a:srgbClr val="000000"/>
                </a:solidFill>
                <a:latin typeface="Calibri"/>
              </a:defRPr>
            </a:pPr>
            <a:r>
              <a:rPr b="0" i="0" strike="noStrike" sz="1500" u="none">
                <a:solidFill>
                  <a:srgbClr val="000000"/>
                </a:solidFill>
                <a:latin typeface="Calibri"/>
              </a:rPr>
              <a:t>Product Revenue Comparison</a:t>
            </a:r>
          </a:p>
        </c:rich>
      </c:tx>
      <c:layout>
        <c:manualLayout>
          <c:xMode val="edge"/>
          <c:yMode val="edge"/>
          <c:x val="0.305413"/>
          <c:y val="0"/>
          <c:w val="0.389174"/>
          <c:h val="0.134565"/>
        </c:manualLayout>
      </c:layout>
      <c:overlay val="1"/>
      <c:spPr>
        <a:noFill/>
        <a:effectLst/>
      </c:spPr>
    </c:title>
    <c:autoTitleDeleted val="1"/>
    <c:plotArea>
      <c:layout>
        <c:manualLayout>
          <c:layoutTarget val="inner"/>
          <c:xMode val="edge"/>
          <c:yMode val="edge"/>
          <c:x val="0.208863"/>
          <c:y val="0.134565"/>
          <c:w val="0.786137"/>
          <c:h val="0.753144"/>
        </c:manualLayout>
      </c:layout>
      <c:barChart>
        <c:barDir val="col"/>
        <c:grouping val="clustered"/>
        <c:varyColors val="0"/>
        <c:ser>
          <c:idx val="0"/>
          <c:order val="0"/>
          <c:tx>
            <c:v>Series1</c:v>
          </c:tx>
          <c:spPr>
            <a:solidFill>
              <a:srgbClr val="377E91"/>
            </a:solidFill>
            <a:ln w="12700" cap="flat">
              <a:noFill/>
              <a:miter lim="400000"/>
            </a:ln>
            <a:effectLst/>
          </c:spPr>
          <c:invertIfNegative val="0"/>
          <c:dLbls>
            <c:numFmt formatCode="#,##0" sourceLinked="0"/>
            <c:txPr>
              <a:bodyPr/>
              <a:lstStyle/>
              <a:p>
                <a:pPr>
                  <a:defRPr b="0" i="0" strike="noStrike" sz="1800" u="none">
                    <a:solidFill>
                      <a:srgbClr val="000000"/>
                    </a:solidFill>
                    <a:latin typeface="Calibri"/>
                  </a:defRPr>
                </a:pPr>
              </a:p>
            </c:txPr>
            <c:dLblPos val="outEnd"/>
            <c:showLegendKey val="0"/>
            <c:showVal val="0"/>
            <c:showCatName val="0"/>
            <c:showSerName val="0"/>
            <c:showPercent val="0"/>
            <c:showBubbleSize val="0"/>
            <c:showLeaderLines val="0"/>
          </c:dLbls>
          <c:cat>
            <c:strRef>
              <c:f>'Top Performers'!$B$14:$B$17</c:f>
              <c:strCache>
                <c:ptCount val="4"/>
                <c:pt idx="0">
                  <c:v>Accessory</c:v>
                </c:pt>
                <c:pt idx="1">
                  <c:v>Phone</c:v>
                </c:pt>
                <c:pt idx="2">
                  <c:v>Tablet</c:v>
                </c:pt>
                <c:pt idx="3">
                  <c:v>Laptop</c:v>
                </c:pt>
              </c:strCache>
            </c:strRef>
          </c:cat>
          <c:val>
            <c:numRef>
              <c:f>'Top Performers'!$C$14:$C$17</c:f>
              <c:numCache>
                <c:ptCount val="4"/>
                <c:pt idx="0">
                  <c:v>110115331.000000</c:v>
                </c:pt>
                <c:pt idx="1">
                  <c:v>108974946.000000</c:v>
                </c:pt>
                <c:pt idx="2">
                  <c:v>104126322.000000</c:v>
                </c:pt>
                <c:pt idx="3">
                  <c:v>102242346.000000</c:v>
                </c:pt>
              </c:numCache>
            </c:numRef>
          </c:val>
        </c:ser>
        <c:gapWidth val="150"/>
        <c:overlap val="0"/>
        <c:axId val="2094734552"/>
        <c:axId val="2094734553"/>
      </c:barChart>
      <c:catAx>
        <c:axId val="2094734552"/>
        <c:scaling>
          <c:orientation val="minMax"/>
        </c:scaling>
        <c:delete val="0"/>
        <c:axPos val="b"/>
        <c:numFmt formatCode="General" sourceLinked="1"/>
        <c:majorTickMark val="out"/>
        <c:minorTickMark val="none"/>
        <c:tickLblPos val="low"/>
        <c:spPr>
          <a:ln w="12700" cap="flat">
            <a:solidFill>
              <a:srgbClr val="000000"/>
            </a:solidFill>
            <a:prstDash val="solid"/>
            <a:miter lim="400000"/>
          </a:ln>
        </c:spPr>
        <c:txPr>
          <a:bodyPr rot="0"/>
          <a:lstStyle/>
          <a:p>
            <a:pPr>
              <a:defRPr b="0" i="0" strike="noStrike" sz="13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title>
          <c:tx>
            <c:rich>
              <a:bodyPr rot="-5400000"/>
              <a:lstStyle/>
              <a:p>
                <a:pPr>
                  <a:defRPr b="0" i="0" strike="noStrike" sz="1800" u="none">
                    <a:solidFill>
                      <a:srgbClr val="000000"/>
                    </a:solidFill>
                    <a:latin typeface="Calibri"/>
                  </a:defRPr>
                </a:pPr>
                <a:r>
                  <a:rPr b="0" i="0" strike="noStrike" sz="1800" u="none">
                    <a:solidFill>
                      <a:srgbClr val="000000"/>
                    </a:solidFill>
                    <a:latin typeface="Calibri"/>
                  </a:rPr>
                  <a:t>Revenue (Rs.)</a:t>
                </a:r>
              </a:p>
            </c:rich>
          </c:tx>
          <c:layout/>
          <c:overlay val="1"/>
        </c:title>
        <c:numFmt formatCode="General" sourceLinked="1"/>
        <c:majorTickMark val="out"/>
        <c:minorTickMark val="none"/>
        <c:tickLblPos val="nextTo"/>
        <c:spPr>
          <a:ln w="12700" cap="flat">
            <a:solidFill>
              <a:srgbClr val="000000"/>
            </a:solidFill>
            <a:prstDash val="solid"/>
            <a:miter lim="400000"/>
          </a:ln>
        </c:spPr>
        <c:txPr>
          <a:bodyPr rot="0"/>
          <a:lstStyle/>
          <a:p>
            <a:pPr>
              <a:defRPr b="0" i="0" strike="noStrike" sz="1100" u="none">
                <a:solidFill>
                  <a:srgbClr val="000000"/>
                </a:solidFill>
                <a:latin typeface="Calibri"/>
              </a:defRPr>
            </a:pPr>
          </a:p>
        </c:txPr>
        <c:crossAx val="2094734552"/>
        <c:crosses val="autoZero"/>
        <c:crossBetween val="between"/>
        <c:majorUnit val="2.25e+06"/>
        <c:minorUnit val="1.125e+06"/>
      </c:valAx>
      <c:spPr>
        <a:solidFill>
          <a:srgbClr val="FFFFFF"/>
        </a:solidFill>
        <a:ln w="12700" cap="flat">
          <a:noFill/>
          <a:miter lim="400000"/>
        </a:ln>
        <a:effectLst/>
      </c:spPr>
    </c:plotArea>
    <c:plotVisOnly val="1"/>
    <c:dispBlanksAs val="gap"/>
  </c:chart>
  <c:spPr>
    <a:solidFill>
      <a:srgbClr val="FFFFFF"/>
    </a:solidFill>
    <a:ln>
      <a:noFill/>
    </a:ln>
    <a:effectLst/>
  </c:spPr>
</c:chartSpace>
</file>

<file path=xl/charts/chart3.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800" u="none">
                <a:solidFill>
                  <a:srgbClr val="000000"/>
                </a:solidFill>
                <a:latin typeface="Calibri"/>
              </a:defRPr>
            </a:pPr>
            <a:r>
              <a:rPr b="1" i="0" strike="noStrike" sz="1800" u="none">
                <a:solidFill>
                  <a:srgbClr val="000000"/>
                </a:solidFill>
                <a:latin typeface="Calibri"/>
              </a:rPr>
              <a:t>Monthly Revenue Trend</a:t>
            </a:r>
          </a:p>
        </c:rich>
      </c:tx>
      <c:layout>
        <c:manualLayout>
          <c:xMode val="edge"/>
          <c:yMode val="edge"/>
          <c:x val="0.311721"/>
          <c:y val="0"/>
          <c:w val="0.242297"/>
          <c:h val="0.118361"/>
        </c:manualLayout>
      </c:layout>
      <c:overlay val="1"/>
      <c:spPr>
        <a:noFill/>
        <a:effectLst/>
      </c:spPr>
    </c:title>
    <c:autoTitleDeleted val="1"/>
    <c:plotArea>
      <c:layout>
        <c:manualLayout>
          <c:layoutTarget val="inner"/>
          <c:xMode val="edge"/>
          <c:yMode val="edge"/>
          <c:x val="0.101423"/>
          <c:y val="0.118361"/>
          <c:w val="0.762515"/>
          <c:h val="0.74815"/>
        </c:manualLayout>
      </c:layout>
      <c:lineChart>
        <c:grouping val="standard"/>
        <c:varyColors val="0"/>
        <c:ser>
          <c:idx val="0"/>
          <c:order val="0"/>
          <c:tx>
            <c:strRef>
              <c:f>'Monthly &amp; Regional Trends'!$B$5</c:f>
              <c:strCache>
                <c:ptCount val="1"/>
                <c:pt idx="0">
                  <c:v>Revenue (Rs.)</c:v>
                </c:pt>
              </c:strCache>
            </c:strRef>
          </c:tx>
          <c:spPr>
            <a:noFill/>
            <a:ln w="28440" cap="flat">
              <a:solidFill>
                <a:srgbClr val="4A7EBB"/>
              </a:solidFill>
              <a:prstDash val="solid"/>
              <a:round/>
            </a:ln>
            <a:effectLst/>
          </c:spPr>
          <c:marker>
            <c:symbol val="none"/>
            <c:size val="4"/>
            <c:spPr>
              <a:noFill/>
              <a:ln w="28440" cap="flat">
                <a:solidFill>
                  <a:srgbClr val="4A7EBB"/>
                </a:solidFill>
                <a:prstDash val="solid"/>
                <a:round/>
              </a:ln>
              <a:effectLst/>
            </c:spPr>
          </c:marker>
          <c:dLbls>
            <c:numFmt formatCode="#,##0" sourceLinked="0"/>
            <c:txPr>
              <a:bodyPr/>
              <a:lstStyle/>
              <a:p>
                <a:pPr>
                  <a:defRPr b="0" i="0" strike="noStrike" sz="1000" u="none">
                    <a:solidFill>
                      <a:srgbClr val="000000"/>
                    </a:solidFill>
                    <a:latin typeface="Arial"/>
                  </a:defRPr>
                </a:pPr>
              </a:p>
            </c:txPr>
            <c:dLblPos val="t"/>
            <c:showLegendKey val="0"/>
            <c:showVal val="0"/>
            <c:showCatName val="0"/>
            <c:showSerName val="0"/>
            <c:showPercent val="0"/>
            <c:showBubbleSize val="0"/>
            <c:showLeaderLines val="0"/>
          </c:dLbls>
          <c:cat>
            <c:strRef>
              <c:f>'Monthly &amp; Regional Trends'!$A$6:$A$38</c:f>
              <c:strCache>
                <c:ptCount val="33"/>
                <c:pt idx="0">
                  <c:v>Jan-2024</c:v>
                </c:pt>
                <c:pt idx="1">
                  <c:v>Feb-2024</c:v>
                </c:pt>
                <c:pt idx="2">
                  <c:v>Mar-2024</c:v>
                </c:pt>
                <c:pt idx="3">
                  <c:v>Apr-2024</c:v>
                </c:pt>
                <c:pt idx="4">
                  <c:v>May-2024</c:v>
                </c:pt>
                <c:pt idx="5">
                  <c:v>Jun-2024</c:v>
                </c:pt>
                <c:pt idx="6">
                  <c:v>Jul-2024</c:v>
                </c:pt>
                <c:pt idx="7">
                  <c:v>Aug-2024</c:v>
                </c:pt>
                <c:pt idx="8">
                  <c:v>Sep-2024</c:v>
                </c:pt>
                <c:pt idx="9">
                  <c:v>Oct-2024</c:v>
                </c:pt>
                <c:pt idx="10">
                  <c:v>Nov-2024</c:v>
                </c:pt>
                <c:pt idx="11">
                  <c:v>Dec-2024</c:v>
                </c:pt>
                <c:pt idx="12">
                  <c:v>Jan-2025</c:v>
                </c:pt>
                <c:pt idx="13">
                  <c:v>Feb-2025</c:v>
                </c:pt>
                <c:pt idx="14">
                  <c:v>Mar-2025</c:v>
                </c:pt>
                <c:pt idx="15">
                  <c:v>Apr-2025</c:v>
                </c:pt>
                <c:pt idx="16">
                  <c:v>May-2025</c:v>
                </c:pt>
                <c:pt idx="17">
                  <c:v>Jun-2025</c:v>
                </c:pt>
                <c:pt idx="18">
                  <c:v>Jul-2025</c:v>
                </c:pt>
                <c:pt idx="19">
                  <c:v>Aug-2025</c:v>
                </c:pt>
                <c:pt idx="20">
                  <c:v>Sep-2025</c:v>
                </c:pt>
                <c:pt idx="21">
                  <c:v>Oct-2025</c:v>
                </c:pt>
                <c:pt idx="22">
                  <c:v>Nov-2025</c:v>
                </c:pt>
                <c:pt idx="23">
                  <c:v>Dec-2025</c:v>
                </c:pt>
                <c:pt idx="24">
                  <c:v>Jan-2026</c:v>
                </c:pt>
                <c:pt idx="25">
                  <c:v>Feb-2026</c:v>
                </c:pt>
                <c:pt idx="26">
                  <c:v>Mar-2026</c:v>
                </c:pt>
                <c:pt idx="27">
                  <c:v>Apr-2026</c:v>
                </c:pt>
                <c:pt idx="28">
                  <c:v>May-2026</c:v>
                </c:pt>
                <c:pt idx="29">
                  <c:v>Jun-2026</c:v>
                </c:pt>
                <c:pt idx="30">
                  <c:v>Jul-2026</c:v>
                </c:pt>
                <c:pt idx="31">
                  <c:v>Aug-2026</c:v>
                </c:pt>
                <c:pt idx="32">
                  <c:v>Sep-2026</c:v>
                </c:pt>
              </c:strCache>
            </c:strRef>
          </c:cat>
          <c:val>
            <c:numRef>
              <c:f>'Monthly &amp; Regional Trends'!$B$6:$B$38</c:f>
              <c:numCache>
                <c:ptCount val="33"/>
                <c:pt idx="0">
                  <c:v>13091344.000000</c:v>
                </c:pt>
                <c:pt idx="1">
                  <c:v>14823394.000000</c:v>
                </c:pt>
                <c:pt idx="2">
                  <c:v>8468568.000000</c:v>
                </c:pt>
                <c:pt idx="3">
                  <c:v>13943225.000000</c:v>
                </c:pt>
                <c:pt idx="4">
                  <c:v>10276242.000000</c:v>
                </c:pt>
                <c:pt idx="5">
                  <c:v>14420530.000000</c:v>
                </c:pt>
                <c:pt idx="6">
                  <c:v>12810483.000000</c:v>
                </c:pt>
                <c:pt idx="7">
                  <c:v>13994409.000000</c:v>
                </c:pt>
                <c:pt idx="8">
                  <c:v>14746979.000000</c:v>
                </c:pt>
                <c:pt idx="9">
                  <c:v>10412407.000000</c:v>
                </c:pt>
                <c:pt idx="10">
                  <c:v>6969279.000000</c:v>
                </c:pt>
                <c:pt idx="11">
                  <c:v>12839766.000000</c:v>
                </c:pt>
                <c:pt idx="12">
                  <c:v>19061653.000000</c:v>
                </c:pt>
                <c:pt idx="13">
                  <c:v>11366242.000000</c:v>
                </c:pt>
                <c:pt idx="14">
                  <c:v>9808736.000000</c:v>
                </c:pt>
                <c:pt idx="15">
                  <c:v>16371228.000000</c:v>
                </c:pt>
                <c:pt idx="16">
                  <c:v>16535409.000000</c:v>
                </c:pt>
                <c:pt idx="17">
                  <c:v>6375553.000000</c:v>
                </c:pt>
                <c:pt idx="18">
                  <c:v>14435147.000000</c:v>
                </c:pt>
                <c:pt idx="19">
                  <c:v>8624025.000000</c:v>
                </c:pt>
                <c:pt idx="20">
                  <c:v>12309760.000000</c:v>
                </c:pt>
                <c:pt idx="21">
                  <c:v>18273456.000000</c:v>
                </c:pt>
                <c:pt idx="22">
                  <c:v>16366844.000000</c:v>
                </c:pt>
                <c:pt idx="23">
                  <c:v>12506851.000000</c:v>
                </c:pt>
                <c:pt idx="24">
                  <c:v>14750263.000000</c:v>
                </c:pt>
                <c:pt idx="25">
                  <c:v>13112174.000000</c:v>
                </c:pt>
                <c:pt idx="26">
                  <c:v>13101015.000000</c:v>
                </c:pt>
                <c:pt idx="27">
                  <c:v>12040328.000000</c:v>
                </c:pt>
                <c:pt idx="28">
                  <c:v>12989579.000000</c:v>
                </c:pt>
                <c:pt idx="29">
                  <c:v>13383989.000000</c:v>
                </c:pt>
                <c:pt idx="30">
                  <c:v>12338414.000000</c:v>
                </c:pt>
                <c:pt idx="31">
                  <c:v>17483959.000000</c:v>
                </c:pt>
                <c:pt idx="32">
                  <c:v>7427694.000000</c:v>
                </c:pt>
              </c:numCache>
            </c:numRef>
          </c:val>
          <c:smooth val="1"/>
        </c:ser>
        <c:marker val="1"/>
        <c:axId val="2094734552"/>
        <c:axId val="2094734553"/>
      </c:lineChart>
      <c:catAx>
        <c:axId val="2094734552"/>
        <c:scaling>
          <c:orientation val="minMax"/>
        </c:scaling>
        <c:delete val="0"/>
        <c:axPos val="b"/>
        <c:title>
          <c:tx>
            <c:rich>
              <a:bodyPr rot="0"/>
              <a:lstStyle/>
              <a:p>
                <a:pPr>
                  <a:defRPr b="1" i="0" strike="noStrike" sz="1000" u="none">
                    <a:solidFill>
                      <a:srgbClr val="000000"/>
                    </a:solidFill>
                    <a:latin typeface="Calibri"/>
                  </a:defRPr>
                </a:pPr>
                <a:r>
                  <a:rPr b="1" i="0" strike="noStrike" sz="1000" u="none">
                    <a:solidFill>
                      <a:srgbClr val="000000"/>
                    </a:solidFill>
                    <a:latin typeface="Calibri"/>
                  </a:rPr>
                  <a:t>Month</a:t>
                </a:r>
              </a:p>
            </c:rich>
          </c:tx>
          <c:layout/>
          <c:overlay val="1"/>
        </c:title>
        <c:numFmt formatCode="General" sourceLinked="1"/>
        <c:majorTickMark val="none"/>
        <c:minorTickMark val="none"/>
        <c:tickLblPos val="low"/>
        <c:spPr>
          <a:ln w="12700" cap="flat">
            <a:solidFill>
              <a:srgbClr val="878787"/>
            </a:solidFill>
            <a:prstDash val="solid"/>
            <a:round/>
          </a:ln>
        </c:spPr>
        <c:txPr>
          <a:bodyPr rot="0"/>
          <a:lstStyle/>
          <a:p>
            <a:pPr>
              <a:defRPr b="0" i="0" strike="noStrike" sz="10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878787"/>
              </a:solidFill>
              <a:prstDash val="solid"/>
              <a:round/>
            </a:ln>
          </c:spPr>
        </c:majorGridlines>
        <c:title>
          <c:tx>
            <c:rich>
              <a:bodyPr rot="-5400000"/>
              <a:lstStyle/>
              <a:p>
                <a:pPr>
                  <a:defRPr b="1" i="0" strike="noStrike" sz="1000" u="none">
                    <a:solidFill>
                      <a:srgbClr val="000000"/>
                    </a:solidFill>
                    <a:latin typeface="Calibri"/>
                  </a:defRPr>
                </a:pPr>
                <a:r>
                  <a:rPr b="1" i="0" strike="noStrike" sz="1000" u="none">
                    <a:solidFill>
                      <a:srgbClr val="000000"/>
                    </a:solidFill>
                    <a:latin typeface="Calibri"/>
                  </a:rPr>
                  <a:t>Revenue (Rs.)</a:t>
                </a:r>
              </a:p>
            </c:rich>
          </c:tx>
          <c:layout/>
          <c:overlay val="1"/>
        </c:title>
        <c:numFmt formatCode="General" sourceLinked="1"/>
        <c:majorTickMark val="none"/>
        <c:minorTickMark val="none"/>
        <c:tickLblPos val="nextTo"/>
        <c:spPr>
          <a:ln w="12700" cap="flat">
            <a:solidFill>
              <a:srgbClr val="878787"/>
            </a:solid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5e+06"/>
        <c:minorUnit val="2.5e+06"/>
      </c:valAx>
      <c:spPr>
        <a:noFill/>
        <a:ln w="12700" cap="flat">
          <a:noFill/>
          <a:miter lim="400000"/>
        </a:ln>
        <a:effectLst/>
      </c:spPr>
    </c:plotArea>
    <c:legend>
      <c:legendPos val="r"/>
      <c:layout>
        <c:manualLayout>
          <c:xMode val="edge"/>
          <c:yMode val="edge"/>
          <c:x val="0.881351"/>
          <c:y val="0.450495"/>
          <c:w val="0.118649"/>
          <c:h val="0.0678388"/>
        </c:manualLayout>
      </c:layout>
      <c:overlay val="1"/>
      <c:spPr>
        <a:noFill/>
        <a:ln w="12700" cap="flat">
          <a:noFill/>
          <a:miter lim="400000"/>
        </a:ln>
        <a:effectLst/>
      </c:spPr>
      <c:txPr>
        <a:bodyPr rot="0"/>
        <a:lstStyle/>
        <a:p>
          <a:pPr>
            <a:defRPr b="0" i="0" strike="noStrike" sz="1000" u="none">
              <a:solidFill>
                <a:srgbClr val="000000"/>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charts/chart4.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800" u="none">
                <a:solidFill>
                  <a:srgbClr val="000000"/>
                </a:solidFill>
                <a:latin typeface="Calibri"/>
              </a:defRPr>
            </a:pPr>
            <a:r>
              <a:rPr b="0" i="0" strike="noStrike" sz="1800" u="none">
                <a:solidFill>
                  <a:srgbClr val="000000"/>
                </a:solidFill>
                <a:latin typeface="Calibri"/>
              </a:rPr>
              <a:t>Revenue by Region</a:t>
            </a:r>
          </a:p>
        </c:rich>
      </c:tx>
      <c:layout>
        <c:manualLayout>
          <c:xMode val="edge"/>
          <c:yMode val="edge"/>
          <c:x val="0.297679"/>
          <c:y val="0"/>
          <c:w val="0.404642"/>
          <c:h val="0.135337"/>
        </c:manualLayout>
      </c:layout>
      <c:overlay val="1"/>
      <c:spPr>
        <a:noFill/>
        <a:effectLst/>
      </c:spPr>
    </c:title>
    <c:autoTitleDeleted val="1"/>
    <c:plotArea>
      <c:layout>
        <c:manualLayout>
          <c:layoutTarget val="inner"/>
          <c:xMode val="edge"/>
          <c:yMode val="edge"/>
          <c:x val="0.338353"/>
          <c:y val="0.135337"/>
          <c:w val="0.656647"/>
          <c:h val="0.759082"/>
        </c:manualLayout>
      </c:layout>
      <c:barChart>
        <c:barDir val="col"/>
        <c:grouping val="clustered"/>
        <c:varyColors val="0"/>
        <c:ser>
          <c:idx val="0"/>
          <c:order val="0"/>
          <c:tx>
            <c:strRef>
              <c:f>'Monthly &amp; Regional Trends'!$B$41</c:f>
              <c:strCache>
                <c:ptCount val="1"/>
                <c:pt idx="0">
                  <c:v>Revenue (Rs.)</c:v>
                </c:pt>
              </c:strCache>
            </c:strRef>
          </c:tx>
          <c:spPr>
            <a:solidFill>
              <a:srgbClr val="8C3A38"/>
            </a:solidFill>
            <a:ln w="12700" cap="flat">
              <a:noFill/>
              <a:miter lim="400000"/>
            </a:ln>
            <a:effectLst/>
          </c:spPr>
          <c:invertIfNegative val="0"/>
          <c:dLbls>
            <c:numFmt formatCode="#,##0" sourceLinked="0"/>
            <c:txPr>
              <a:bodyPr/>
              <a:lstStyle/>
              <a:p>
                <a:pPr>
                  <a:defRPr b="0" i="0" strike="noStrike" sz="1800" u="none">
                    <a:solidFill>
                      <a:srgbClr val="000000"/>
                    </a:solidFill>
                    <a:latin typeface="Calibri"/>
                  </a:defRPr>
                </a:pPr>
              </a:p>
            </c:txPr>
            <c:dLblPos val="outEnd"/>
            <c:showLegendKey val="0"/>
            <c:showVal val="0"/>
            <c:showCatName val="0"/>
            <c:showSerName val="0"/>
            <c:showPercent val="0"/>
            <c:showBubbleSize val="0"/>
            <c:showLeaderLines val="0"/>
          </c:dLbls>
          <c:cat>
            <c:strRef>
              <c:f>'Monthly &amp; Regional Trends'!$A$42:$A$45</c:f>
              <c:strCache>
                <c:ptCount val="4"/>
                <c:pt idx="0">
                  <c:v>North</c:v>
                </c:pt>
                <c:pt idx="1">
                  <c:v>South</c:v>
                </c:pt>
                <c:pt idx="2">
                  <c:v>East</c:v>
                </c:pt>
                <c:pt idx="3">
                  <c:v>West</c:v>
                </c:pt>
              </c:strCache>
            </c:strRef>
          </c:cat>
          <c:val>
            <c:numRef>
              <c:f>'Monthly &amp; Regional Trends'!$B$42:$B$45</c:f>
              <c:numCache>
                <c:ptCount val="4"/>
                <c:pt idx="0">
                  <c:v>116561640.000000</c:v>
                </c:pt>
                <c:pt idx="1">
                  <c:v>102636420.000000</c:v>
                </c:pt>
                <c:pt idx="2">
                  <c:v>115709237.000000</c:v>
                </c:pt>
                <c:pt idx="3">
                  <c:v>90551648.000000</c:v>
                </c:pt>
              </c:numCache>
            </c:numRef>
          </c:val>
        </c:ser>
        <c:gapWidth val="150"/>
        <c:overlap val="0"/>
        <c:axId val="2094734552"/>
        <c:axId val="2094734553"/>
      </c:barChart>
      <c:catAx>
        <c:axId val="2094734552"/>
        <c:scaling>
          <c:orientation val="minMax"/>
        </c:scaling>
        <c:delete val="0"/>
        <c:axPos val="b"/>
        <c:numFmt formatCode="General" sourceLinked="1"/>
        <c:majorTickMark val="out"/>
        <c:minorTickMark val="none"/>
        <c:tickLblPos val="low"/>
        <c:spPr>
          <a:ln w="12700" cap="flat">
            <a:solidFill>
              <a:srgbClr val="000000"/>
            </a:solidFill>
            <a:prstDash val="solid"/>
            <a:miter lim="400000"/>
          </a:ln>
        </c:spPr>
        <c:txPr>
          <a:bodyPr rot="0"/>
          <a:lstStyle/>
          <a:p>
            <a:pPr>
              <a:defRPr b="0" i="0" strike="noStrike" sz="15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title>
          <c:tx>
            <c:rich>
              <a:bodyPr rot="-5400000"/>
              <a:lstStyle/>
              <a:p>
                <a:pPr>
                  <a:defRPr b="0" i="0" strike="noStrike" sz="1800" u="none">
                    <a:solidFill>
                      <a:srgbClr val="000000"/>
                    </a:solidFill>
                    <a:latin typeface="Calibri"/>
                  </a:defRPr>
                </a:pPr>
                <a:r>
                  <a:rPr b="0" i="0" strike="noStrike" sz="1800" u="none">
                    <a:solidFill>
                      <a:srgbClr val="000000"/>
                    </a:solidFill>
                    <a:latin typeface="Calibri"/>
                  </a:rPr>
                  <a:t>Revenue (Rs.)</a:t>
                </a:r>
              </a:p>
            </c:rich>
          </c:tx>
          <c:layout/>
          <c:overlay val="1"/>
        </c:title>
        <c:numFmt formatCode="General" sourceLinked="1"/>
        <c:majorTickMark val="out"/>
        <c:minorTickMark val="none"/>
        <c:tickLblPos val="nextTo"/>
        <c:spPr>
          <a:ln w="12700" cap="flat">
            <a:solidFill>
              <a:srgbClr val="000000"/>
            </a:solidFill>
            <a:prstDash val="solid"/>
            <a:miter lim="400000"/>
          </a:ln>
        </c:spPr>
        <c:txPr>
          <a:bodyPr rot="0"/>
          <a:lstStyle/>
          <a:p>
            <a:pPr>
              <a:defRPr b="0" i="0" strike="noStrike" sz="1400" u="none">
                <a:solidFill>
                  <a:srgbClr val="000000"/>
                </a:solidFill>
                <a:latin typeface="Calibri"/>
              </a:defRPr>
            </a:pPr>
          </a:p>
        </c:txPr>
        <c:crossAx val="2094734552"/>
        <c:crosses val="autoZero"/>
        <c:crossBetween val="between"/>
        <c:majorUnit val="3e+07"/>
        <c:minorUnit val="1.5e+07"/>
      </c:valAx>
      <c:spPr>
        <a:solidFill>
          <a:srgbClr val="FFFFFF"/>
        </a:solidFill>
        <a:ln w="12700" cap="flat">
          <a:noFill/>
          <a:miter lim="400000"/>
        </a:ln>
        <a:effectLst/>
      </c:spPr>
    </c:plotArea>
    <c:plotVisOnly val="1"/>
    <c:dispBlanksAs val="gap"/>
  </c:chart>
  <c:spPr>
    <a:solidFill>
      <a:srgbClr val="FFFFFF"/>
    </a:solidFill>
    <a:ln>
      <a:noFill/>
    </a:ln>
    <a:effectLst/>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20</xdr:row>
      <xdr:rowOff>27771</xdr:rowOff>
    </xdr:from>
    <xdr:to>
      <xdr:col>4</xdr:col>
      <xdr:colOff>363521</xdr:colOff>
      <xdr:row>35</xdr:row>
      <xdr:rowOff>130187</xdr:rowOff>
    </xdr:to>
    <xdr:graphicFrame>
      <xdr:nvGraphicFramePr>
        <xdr:cNvPr id="2" name="Chart 1"/>
        <xdr:cNvGraphicFramePr/>
      </xdr:nvGraphicFramePr>
      <xdr:xfrm>
        <a:off x="-136327" y="3611711"/>
        <a:ext cx="4325922" cy="2683692"/>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5</xdr:col>
      <xdr:colOff>57255</xdr:colOff>
      <xdr:row>20</xdr:row>
      <xdr:rowOff>134580</xdr:rowOff>
    </xdr:from>
    <xdr:to>
      <xdr:col>16</xdr:col>
      <xdr:colOff>660400</xdr:colOff>
      <xdr:row>36</xdr:row>
      <xdr:rowOff>6843</xdr:rowOff>
    </xdr:to>
    <xdr:graphicFrame>
      <xdr:nvGraphicFramePr>
        <xdr:cNvPr id="3" name="Chart 2"/>
        <xdr:cNvGraphicFramePr/>
      </xdr:nvGraphicFramePr>
      <xdr:xfrm>
        <a:off x="5010255" y="3718520"/>
        <a:ext cx="5911745" cy="2625624"/>
      </xdr:xfrm>
      <a:graphic xmlns:a="http://schemas.openxmlformats.org/drawingml/2006/main">
        <a:graphicData uri="http://schemas.openxmlformats.org/drawingml/2006/chart">
          <c:chart xmlns:c="http://schemas.openxmlformats.org/drawingml/2006/chart" r:id="rId2"/>
        </a:graphicData>
      </a:graphic>
    </xdr:graphicFrame>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5</xdr:col>
      <xdr:colOff>0</xdr:colOff>
      <xdr:row>2</xdr:row>
      <xdr:rowOff>161766</xdr:rowOff>
    </xdr:from>
    <xdr:to>
      <xdr:col>19</xdr:col>
      <xdr:colOff>236109</xdr:colOff>
      <xdr:row>21</xdr:row>
      <xdr:rowOff>68976</xdr:rowOff>
    </xdr:to>
    <xdr:graphicFrame>
      <xdr:nvGraphicFramePr>
        <xdr:cNvPr id="5" name="Chart 1"/>
        <xdr:cNvGraphicFramePr/>
      </xdr:nvGraphicFramePr>
      <xdr:xfrm>
        <a:off x="5791200" y="583406"/>
        <a:ext cx="9481710" cy="3199686"/>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6</xdr:col>
      <xdr:colOff>321295</xdr:colOff>
      <xdr:row>38</xdr:row>
      <xdr:rowOff>92758</xdr:rowOff>
    </xdr:from>
    <xdr:to>
      <xdr:col>13</xdr:col>
      <xdr:colOff>83427</xdr:colOff>
      <xdr:row>56</xdr:row>
      <xdr:rowOff>113491</xdr:rowOff>
    </xdr:to>
    <xdr:graphicFrame>
      <xdr:nvGraphicFramePr>
        <xdr:cNvPr id="6" name="Chart 2"/>
        <xdr:cNvGraphicFramePr/>
      </xdr:nvGraphicFramePr>
      <xdr:xfrm>
        <a:off x="6772895" y="6732318"/>
        <a:ext cx="4384933" cy="3163984"/>
      </xdr:xfrm>
      <a:graphic xmlns:a="http://schemas.openxmlformats.org/drawingml/2006/main">
        <a:graphicData uri="http://schemas.openxmlformats.org/drawingml/2006/chart">
          <c:chart xmlns:c="http://schemas.openxmlformats.org/drawingml/2006/chart"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noFill/>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xml version="1.0" encoding="UTF-8"?>
<Relationships xmlns="http://schemas.openxmlformats.org/package/2006/relationships"><Relationship Id="rId1" Type="http://schemas.openxmlformats.org/officeDocument/2006/relationships/drawing" Target="../drawings/drawing1.xml"/></Relationships>

</file>

<file path=xl/worksheets/_rels/sheet4.xml.rels><?xml version="1.0" encoding="UTF-8"?>
<Relationships xmlns="http://schemas.openxmlformats.org/package/2006/relationships"><Relationship Id="rId1" Type="http://schemas.openxmlformats.org/officeDocument/2006/relationships/drawing" Target="../drawings/drawing2.xml"/></Relationships>

</file>

<file path=xl/worksheets/sheet1.xml><?xml version="1.0" encoding="utf-8"?>
<worksheet xmlns:r="http://schemas.openxmlformats.org/officeDocument/2006/relationships" xmlns="http://schemas.openxmlformats.org/spreadsheetml/2006/main">
  <dimension ref="A1:AB55"/>
  <sheetViews>
    <sheetView workbookViewId="0" showGridLines="0" defaultGridColor="1"/>
  </sheetViews>
  <sheetFormatPr defaultColWidth="8.66667" defaultRowHeight="15" customHeight="1" outlineLevelRow="0" outlineLevelCol="0"/>
  <cols>
    <col min="1" max="1" width="8" style="1" customWidth="1"/>
    <col min="2" max="3" width="14" style="1" customWidth="1"/>
    <col min="4" max="5" width="3" style="1" customWidth="1"/>
    <col min="6" max="6" width="8" style="1" customWidth="1"/>
    <col min="7" max="7" width="14" style="1" customWidth="1"/>
    <col min="8" max="8" width="9.85156" style="1" customWidth="1"/>
    <col min="9" max="10" width="3" style="1" customWidth="1"/>
    <col min="11" max="11" width="4.67188" style="1" customWidth="1"/>
    <col min="12" max="12" width="13.3203" style="1" customWidth="1"/>
    <col min="13" max="14" width="3" style="1" customWidth="1"/>
    <col min="15" max="15" width="8.67188" style="1" customWidth="1"/>
    <col min="16" max="17" hidden="1" width="8.66667" style="1" customWidth="1"/>
    <col min="18" max="28" width="8.67188" style="1" customWidth="1"/>
    <col min="29" max="16384" width="8.67188" style="1" customWidth="1"/>
  </cols>
  <sheetData>
    <row r="1" ht="31.5" customHeight="1">
      <c r="A1" t="s" s="2">
        <v>0</v>
      </c>
      <c r="B1" s="3"/>
      <c r="C1" s="3"/>
      <c r="D1" s="3"/>
      <c r="E1" s="3"/>
      <c r="F1" s="3"/>
      <c r="G1" s="3"/>
      <c r="H1" s="3"/>
      <c r="I1" s="3"/>
      <c r="J1" s="3"/>
      <c r="K1" s="3"/>
      <c r="L1" s="3"/>
      <c r="M1" s="3"/>
      <c r="N1" s="3"/>
      <c r="O1" s="4"/>
      <c r="P1" s="5"/>
      <c r="Q1" s="5"/>
      <c r="R1" s="4"/>
      <c r="S1" s="4"/>
      <c r="T1" s="4"/>
      <c r="U1" s="4"/>
      <c r="V1" s="4"/>
      <c r="W1" s="4"/>
      <c r="X1" s="4"/>
      <c r="Y1" s="4"/>
      <c r="Z1" s="4"/>
      <c r="AA1" s="4"/>
      <c r="AB1" s="6"/>
    </row>
    <row r="2" ht="18" customHeight="1">
      <c r="A2" t="s" s="7">
        <v>1</v>
      </c>
      <c r="B2" s="8"/>
      <c r="C2" s="8"/>
      <c r="D2" s="8"/>
      <c r="E2" s="8"/>
      <c r="F2" s="8"/>
      <c r="G2" s="8"/>
      <c r="H2" s="8"/>
      <c r="I2" s="8"/>
      <c r="J2" s="8"/>
      <c r="K2" s="8"/>
      <c r="L2" s="8"/>
      <c r="M2" s="8"/>
      <c r="N2" s="8"/>
      <c r="O2" s="9"/>
      <c r="P2" s="10"/>
      <c r="Q2" s="10"/>
      <c r="R2" s="9"/>
      <c r="S2" s="9"/>
      <c r="T2" s="9"/>
      <c r="U2" s="9"/>
      <c r="V2" s="9"/>
      <c r="W2" s="9"/>
      <c r="X2" s="9"/>
      <c r="Y2" s="9"/>
      <c r="Z2" s="9"/>
      <c r="AA2" s="9"/>
      <c r="AB2" s="11"/>
    </row>
    <row r="3" ht="13.55" customHeight="1">
      <c r="A3" s="12"/>
      <c r="B3" s="10"/>
      <c r="C3" s="10"/>
      <c r="D3" s="10"/>
      <c r="E3" s="10"/>
      <c r="F3" s="10"/>
      <c r="G3" s="10"/>
      <c r="H3" s="10"/>
      <c r="I3" s="10"/>
      <c r="J3" s="10"/>
      <c r="K3" s="10"/>
      <c r="L3" s="10"/>
      <c r="M3" s="10"/>
      <c r="N3" s="10"/>
      <c r="O3" s="9"/>
      <c r="P3" s="10"/>
      <c r="Q3" s="10"/>
      <c r="R3" s="9"/>
      <c r="S3" s="9"/>
      <c r="T3" s="9"/>
      <c r="U3" s="9"/>
      <c r="V3" s="9"/>
      <c r="W3" s="9"/>
      <c r="X3" s="9"/>
      <c r="Y3" s="9"/>
      <c r="Z3" s="9"/>
      <c r="AA3" s="9"/>
      <c r="AB3" s="11"/>
    </row>
    <row r="4" ht="14.05" customHeight="1">
      <c r="A4" t="s" s="13">
        <v>2</v>
      </c>
      <c r="B4" s="14"/>
      <c r="C4" s="15"/>
      <c r="D4" s="14"/>
      <c r="E4" s="14"/>
      <c r="F4" s="15"/>
      <c r="G4" s="14"/>
      <c r="H4" s="14"/>
      <c r="I4" s="15"/>
      <c r="J4" s="14"/>
      <c r="K4" s="14"/>
      <c r="L4" s="15"/>
      <c r="M4" s="14"/>
      <c r="N4" s="14"/>
      <c r="O4" s="9"/>
      <c r="P4" s="10"/>
      <c r="Q4" s="10"/>
      <c r="R4" s="9"/>
      <c r="S4" s="9"/>
      <c r="T4" s="9"/>
      <c r="U4" s="9"/>
      <c r="V4" s="9"/>
      <c r="W4" s="9"/>
      <c r="X4" s="9"/>
      <c r="Y4" s="9"/>
      <c r="Z4" s="9"/>
      <c r="AA4" s="9"/>
      <c r="AB4" s="11"/>
    </row>
    <row r="5" ht="14.55" customHeight="1">
      <c r="A5" s="12"/>
      <c r="B5" t="s" s="16">
        <v>3</v>
      </c>
      <c r="C5" t="s" s="17">
        <v>4</v>
      </c>
      <c r="D5" s="18"/>
      <c r="E5" t="s" s="16">
        <v>5</v>
      </c>
      <c r="F5" t="s" s="17">
        <v>4</v>
      </c>
      <c r="G5" s="18"/>
      <c r="H5" t="s" s="16">
        <v>6</v>
      </c>
      <c r="I5" t="s" s="17">
        <v>4</v>
      </c>
      <c r="J5" s="18"/>
      <c r="K5" t="s" s="16">
        <v>7</v>
      </c>
      <c r="L5" t="s" s="17">
        <v>4</v>
      </c>
      <c r="M5" s="18"/>
      <c r="N5" s="10"/>
      <c r="O5" s="9"/>
      <c r="P5" s="10"/>
      <c r="Q5" s="10"/>
      <c r="R5" s="9"/>
      <c r="S5" s="9"/>
      <c r="T5" s="9"/>
      <c r="U5" s="9"/>
      <c r="V5" s="9"/>
      <c r="W5" s="9"/>
      <c r="X5" s="9"/>
      <c r="Y5" s="9"/>
      <c r="Z5" s="9"/>
      <c r="AA5" s="9"/>
      <c r="AB5" s="11"/>
    </row>
    <row r="6" ht="14.55" customHeight="1">
      <c r="A6" s="19"/>
      <c r="B6" s="20"/>
      <c r="C6" s="21"/>
      <c r="D6" s="20"/>
      <c r="E6" s="20"/>
      <c r="F6" s="21"/>
      <c r="G6" s="20"/>
      <c r="H6" s="20"/>
      <c r="I6" s="21"/>
      <c r="J6" s="20"/>
      <c r="K6" s="20"/>
      <c r="L6" s="21"/>
      <c r="M6" s="10"/>
      <c r="N6" s="10"/>
      <c r="O6" s="9"/>
      <c r="P6" s="10"/>
      <c r="Q6" s="10"/>
      <c r="R6" s="9"/>
      <c r="S6" s="9"/>
      <c r="T6" s="9"/>
      <c r="U6" s="9"/>
      <c r="V6" s="9"/>
      <c r="W6" s="9"/>
      <c r="X6" s="9"/>
      <c r="Y6" s="9"/>
      <c r="Z6" s="9"/>
      <c r="AA6" s="9"/>
      <c r="AB6" s="11"/>
    </row>
    <row r="7" ht="18" customHeight="1">
      <c r="A7" t="s" s="22">
        <v>8</v>
      </c>
      <c r="B7" s="23"/>
      <c r="C7" s="23"/>
      <c r="D7" t="s" s="22">
        <v>9</v>
      </c>
      <c r="E7" s="23"/>
      <c r="F7" s="23"/>
      <c r="G7" t="s" s="22">
        <v>10</v>
      </c>
      <c r="H7" s="23"/>
      <c r="I7" s="23"/>
      <c r="J7" t="s" s="22">
        <v>11</v>
      </c>
      <c r="K7" s="23"/>
      <c r="L7" s="23"/>
      <c r="M7" s="18"/>
      <c r="N7" s="10"/>
      <c r="O7" s="9"/>
      <c r="P7" s="10"/>
      <c r="Q7" s="10"/>
      <c r="R7" s="9"/>
      <c r="S7" s="9"/>
      <c r="T7" s="9"/>
      <c r="U7" s="9"/>
      <c r="V7" s="9"/>
      <c r="W7" s="9"/>
      <c r="X7" s="9"/>
      <c r="Y7" s="9"/>
      <c r="Z7" s="9"/>
      <c r="AA7" s="9"/>
      <c r="AB7" s="11"/>
    </row>
    <row r="8" ht="30" customHeight="1">
      <c r="A8" s="24" cm="1">
        <f t="array" ref="A8">_xlfn.SUMIFS('Cleaned Data'!G1:G1001,'Cleaned Data'!B1:B1001,IF(C5="All","*",C5),'Cleaned Data'!C1:C1001,IF(F5="All","*",F5),'Cleaned Data'!D1:D1001,IF(I5="All","*",I5),'Cleaned Data'!H1:H1001,IF(L5="All","&gt;0",L5))</f>
        <v>425458945</v>
      </c>
      <c r="B8" s="24"/>
      <c r="C8" s="24"/>
      <c r="D8" s="24" cm="1">
        <f t="array" ref="D8">_xlfn.SUMIFS('Cleaned Data'!E1:E1001,'Cleaned Data'!B1:B1001,IF(C5="All","*",C5),'Cleaned Data'!C1:C1001,IF(F5="All","*",F5),'Cleaned Data'!D1:D1001,IF(I5="All","*",I5),'Cleaned Data'!H1:H1001,IF(L5="All","&gt;0",L5))</f>
        <v>10103</v>
      </c>
      <c r="E8" s="24"/>
      <c r="F8" s="24"/>
      <c r="G8" s="24" cm="1">
        <f t="array" ref="G8">_xlfn.COUNTIFS('Cleaned Data'!B1:B1001,IF(C5="All","*",C5),'Cleaned Data'!C1:C1001,IF(F5="All","*",F5),'Cleaned Data'!D1:D1001,IF(I5="All","*",I5),'Cleaned Data'!H1:H1001,IF(L5="All","&gt;0",L5))</f>
        <v>1000</v>
      </c>
      <c r="H8" s="24"/>
      <c r="I8" s="24"/>
      <c r="J8" s="24" cm="1">
        <f t="array" ref="J8">_xlfn.IFERROR(A8/G8,0)</f>
        <v>425458.945</v>
      </c>
      <c r="K8" s="24"/>
      <c r="L8" s="24"/>
      <c r="M8" s="18"/>
      <c r="N8" s="10"/>
      <c r="O8" s="9"/>
      <c r="P8" s="10"/>
      <c r="Q8" s="10"/>
      <c r="R8" s="9"/>
      <c r="S8" s="9"/>
      <c r="T8" s="9"/>
      <c r="U8" s="9"/>
      <c r="V8" s="9"/>
      <c r="W8" s="9"/>
      <c r="X8" s="9"/>
      <c r="Y8" s="9"/>
      <c r="Z8" s="9"/>
      <c r="AA8" s="9"/>
      <c r="AB8" s="11"/>
    </row>
    <row r="9" ht="14.05" customHeight="1">
      <c r="A9" t="s" s="25">
        <v>12</v>
      </c>
      <c r="B9" s="26"/>
      <c r="C9" s="26"/>
      <c r="D9" s="26"/>
      <c r="E9" s="26"/>
      <c r="F9" s="26"/>
      <c r="G9" s="26"/>
      <c r="H9" s="26"/>
      <c r="I9" s="26"/>
      <c r="J9" s="26"/>
      <c r="K9" s="26"/>
      <c r="L9" s="26"/>
      <c r="M9" s="14"/>
      <c r="N9" s="14"/>
      <c r="O9" s="9"/>
      <c r="P9" s="10"/>
      <c r="Q9" s="10"/>
      <c r="R9" s="9"/>
      <c r="S9" s="9"/>
      <c r="T9" s="9"/>
      <c r="U9" s="9"/>
      <c r="V9" s="9"/>
      <c r="W9" s="9"/>
      <c r="X9" s="9"/>
      <c r="Y9" s="9"/>
      <c r="Z9" s="9"/>
      <c r="AA9" s="9"/>
      <c r="AB9" s="11"/>
    </row>
    <row r="10" ht="13.55" customHeight="1">
      <c r="A10" s="12"/>
      <c r="B10" s="10"/>
      <c r="C10" s="10"/>
      <c r="D10" s="10"/>
      <c r="E10" s="10"/>
      <c r="F10" s="10"/>
      <c r="G10" s="10"/>
      <c r="H10" s="10"/>
      <c r="I10" s="10"/>
      <c r="J10" s="10"/>
      <c r="K10" s="10"/>
      <c r="L10" s="10"/>
      <c r="M10" s="10"/>
      <c r="N10" s="10"/>
      <c r="O10" s="9"/>
      <c r="P10" t="s" s="27">
        <v>13</v>
      </c>
      <c r="Q10" t="s" s="27">
        <v>14</v>
      </c>
      <c r="R10" s="9"/>
      <c r="S10" s="9"/>
      <c r="T10" s="9"/>
      <c r="U10" s="9"/>
      <c r="V10" s="9"/>
      <c r="W10" s="9"/>
      <c r="X10" s="9"/>
      <c r="Y10" s="9"/>
      <c r="Z10" s="9"/>
      <c r="AA10" s="9"/>
      <c r="AB10" s="11"/>
    </row>
    <row r="11" ht="13.55" customHeight="1">
      <c r="A11" s="12"/>
      <c r="B11" s="10"/>
      <c r="C11" s="10"/>
      <c r="D11" s="10"/>
      <c r="E11" s="10"/>
      <c r="F11" s="10"/>
      <c r="G11" s="10"/>
      <c r="H11" s="10"/>
      <c r="I11" s="10"/>
      <c r="J11" s="10"/>
      <c r="K11" s="10"/>
      <c r="L11" s="10"/>
      <c r="M11" s="10"/>
      <c r="N11" s="10"/>
      <c r="O11" s="9"/>
      <c r="P11" t="s" s="28">
        <v>15</v>
      </c>
      <c r="Q11" s="29" cm="1">
        <f t="array" ref="Q11">_xlfn.SUMIFS('Cleaned Data'!G1:G1001,'Cleaned Data'!B1:B1001,IF(C6="All","*",C6),'Cleaned Data'!C1:C1001,IF(F6="All","*",F6),'Cleaned Data'!D1:D1001,P11,'Cleaned Data'!H1:H1001,IF(L6="All","&gt;0",L6))</f>
        <v>0</v>
      </c>
      <c r="R11" s="9"/>
      <c r="S11" s="9"/>
      <c r="T11" s="9"/>
      <c r="U11" s="9"/>
      <c r="V11" s="9"/>
      <c r="W11" s="9"/>
      <c r="X11" s="9"/>
      <c r="Y11" s="9"/>
      <c r="Z11" s="9"/>
      <c r="AA11" s="9"/>
      <c r="AB11" s="11"/>
    </row>
    <row r="12" ht="13.55" customHeight="1">
      <c r="A12" s="12"/>
      <c r="B12" s="10"/>
      <c r="C12" s="10"/>
      <c r="D12" s="10"/>
      <c r="E12" s="10"/>
      <c r="F12" s="10"/>
      <c r="G12" s="10"/>
      <c r="H12" s="10"/>
      <c r="I12" s="10"/>
      <c r="J12" s="10"/>
      <c r="K12" s="10"/>
      <c r="L12" s="10"/>
      <c r="M12" s="10"/>
      <c r="N12" s="10"/>
      <c r="O12" s="9"/>
      <c r="P12" t="s" s="28">
        <v>16</v>
      </c>
      <c r="Q12" s="29" cm="1">
        <f t="array" ref="Q12">_xlfn.SUMIFS('Cleaned Data'!G1:G1001,'Cleaned Data'!B1:B1001,IF(C6="All","*",C6),'Cleaned Data'!C1:C1001,IF(F6="All","*",F6),'Cleaned Data'!D1:D1001,P12,'Cleaned Data'!H1:H1001,IF(L6="All","&gt;0",L6))</f>
        <v>0</v>
      </c>
      <c r="R12" s="9"/>
      <c r="S12" s="9"/>
      <c r="T12" s="9"/>
      <c r="U12" s="9"/>
      <c r="V12" s="9"/>
      <c r="W12" s="9"/>
      <c r="X12" s="9"/>
      <c r="Y12" s="9"/>
      <c r="Z12" s="9"/>
      <c r="AA12" s="9"/>
      <c r="AB12" s="11"/>
    </row>
    <row r="13" ht="13.55" customHeight="1">
      <c r="A13" s="12"/>
      <c r="B13" s="10"/>
      <c r="C13" s="10"/>
      <c r="D13" s="10"/>
      <c r="E13" s="10"/>
      <c r="F13" s="10"/>
      <c r="G13" s="10"/>
      <c r="H13" s="10"/>
      <c r="I13" s="10"/>
      <c r="J13" s="10"/>
      <c r="K13" s="10"/>
      <c r="L13" s="10"/>
      <c r="M13" s="10"/>
      <c r="N13" s="10"/>
      <c r="O13" s="9"/>
      <c r="P13" t="s" s="28">
        <v>17</v>
      </c>
      <c r="Q13" s="29" cm="1">
        <f t="array" ref="Q13">_xlfn.SUMIFS('Cleaned Data'!G1:G1001,'Cleaned Data'!B1:B1001,IF(C6="All","*",C6),'Cleaned Data'!C1:C1001,IF(F6="All","*",F6),'Cleaned Data'!D1:D1001,P13,'Cleaned Data'!H1:H1001,IF(L6="All","&gt;0",L6))</f>
        <v>0</v>
      </c>
      <c r="R13" s="9"/>
      <c r="S13" s="9"/>
      <c r="T13" s="9"/>
      <c r="U13" s="9"/>
      <c r="V13" s="9"/>
      <c r="W13" s="9"/>
      <c r="X13" s="9"/>
      <c r="Y13" s="9"/>
      <c r="Z13" s="9"/>
      <c r="AA13" s="9"/>
      <c r="AB13" s="11"/>
    </row>
    <row r="14" ht="13.55" customHeight="1">
      <c r="A14" s="12"/>
      <c r="B14" s="10"/>
      <c r="C14" s="10"/>
      <c r="D14" s="10"/>
      <c r="E14" s="10"/>
      <c r="F14" s="10"/>
      <c r="G14" s="10"/>
      <c r="H14" s="10"/>
      <c r="I14" s="10"/>
      <c r="J14" s="10"/>
      <c r="K14" s="10"/>
      <c r="L14" s="10"/>
      <c r="M14" s="10"/>
      <c r="N14" s="10"/>
      <c r="O14" s="9"/>
      <c r="P14" t="s" s="28">
        <v>18</v>
      </c>
      <c r="Q14" s="29" cm="1">
        <f t="array" ref="Q14">_xlfn.SUMIFS('Cleaned Data'!G1:G1001,'Cleaned Data'!B1:B1001,IF(C6="All","*",C6),'Cleaned Data'!C1:C1001,IF(F6="All","*",F6),'Cleaned Data'!D1:D1001,P14,'Cleaned Data'!H1:H1001,IF(L6="All","&gt;0",L6))</f>
        <v>0</v>
      </c>
      <c r="R14" s="9"/>
      <c r="S14" s="9"/>
      <c r="T14" s="9"/>
      <c r="U14" s="9"/>
      <c r="V14" s="9"/>
      <c r="W14" s="9"/>
      <c r="X14" s="9"/>
      <c r="Y14" s="9"/>
      <c r="Z14" s="9"/>
      <c r="AA14" s="9"/>
      <c r="AB14" s="11"/>
    </row>
    <row r="15" ht="13.55" customHeight="1">
      <c r="A15" s="12"/>
      <c r="B15" s="10"/>
      <c r="C15" s="10"/>
      <c r="D15" s="10"/>
      <c r="E15" s="10"/>
      <c r="F15" s="10"/>
      <c r="G15" s="10"/>
      <c r="H15" s="10"/>
      <c r="I15" s="10"/>
      <c r="J15" s="10"/>
      <c r="K15" s="10"/>
      <c r="L15" s="10"/>
      <c r="M15" s="10"/>
      <c r="N15" s="10"/>
      <c r="O15" s="9"/>
      <c r="P15" s="10"/>
      <c r="Q15" s="10"/>
      <c r="R15" s="9"/>
      <c r="S15" s="9"/>
      <c r="T15" s="9"/>
      <c r="U15" s="9"/>
      <c r="V15" s="9"/>
      <c r="W15" s="9"/>
      <c r="X15" s="9"/>
      <c r="Y15" s="9"/>
      <c r="Z15" s="9"/>
      <c r="AA15" s="9"/>
      <c r="AB15" s="11"/>
    </row>
    <row r="16" ht="13.55" customHeight="1">
      <c r="A16" s="12"/>
      <c r="B16" s="10"/>
      <c r="C16" s="10"/>
      <c r="D16" s="10"/>
      <c r="E16" s="10"/>
      <c r="F16" s="10"/>
      <c r="G16" s="10"/>
      <c r="H16" s="10"/>
      <c r="I16" s="10"/>
      <c r="J16" s="10"/>
      <c r="K16" s="10"/>
      <c r="L16" s="10"/>
      <c r="M16" s="10"/>
      <c r="N16" s="10"/>
      <c r="O16" s="9"/>
      <c r="P16" t="s" s="27">
        <v>19</v>
      </c>
      <c r="Q16" t="s" s="27">
        <v>14</v>
      </c>
      <c r="R16" s="9"/>
      <c r="S16" s="9"/>
      <c r="T16" s="9"/>
      <c r="U16" s="9"/>
      <c r="V16" s="9"/>
      <c r="W16" s="9"/>
      <c r="X16" s="9"/>
      <c r="Y16" s="9"/>
      <c r="Z16" s="9"/>
      <c r="AA16" s="9"/>
      <c r="AB16" s="11"/>
    </row>
    <row r="17" ht="13.55" customHeight="1">
      <c r="A17" s="12"/>
      <c r="B17" s="10"/>
      <c r="C17" s="10"/>
      <c r="D17" s="10"/>
      <c r="E17" s="10"/>
      <c r="F17" s="10"/>
      <c r="G17" s="10"/>
      <c r="H17" s="10"/>
      <c r="I17" s="10"/>
      <c r="J17" s="10"/>
      <c r="K17" s="10"/>
      <c r="L17" s="10"/>
      <c r="M17" s="10"/>
      <c r="N17" s="10"/>
      <c r="O17" s="9"/>
      <c r="P17" t="s" s="28">
        <v>20</v>
      </c>
      <c r="Q17" s="29" cm="1">
        <f t="array" ref="Q17">_xlfn.SUMIFS('Cleaned Data'!G1:G1001,'Cleaned Data'!C1:C1001,IF(F6="All","*",F6),'Cleaned Data'!D1:D1001,IF(I6="All","*",I6),'Cleaned Data'!H1:H1001,IF(L6="All","&gt;0",L6),'Cleaned Data'!B1:B1001,P17)</f>
        <v>0</v>
      </c>
      <c r="R17" s="9"/>
      <c r="S17" s="9"/>
      <c r="T17" s="9"/>
      <c r="U17" s="9"/>
      <c r="V17" s="9"/>
      <c r="W17" s="9"/>
      <c r="X17" s="9"/>
      <c r="Y17" s="9"/>
      <c r="Z17" s="9"/>
      <c r="AA17" s="9"/>
      <c r="AB17" s="11"/>
    </row>
    <row r="18" ht="13.55" customHeight="1">
      <c r="A18" s="12"/>
      <c r="B18" s="10"/>
      <c r="C18" s="10"/>
      <c r="D18" s="10"/>
      <c r="E18" s="10"/>
      <c r="F18" s="10"/>
      <c r="G18" s="10"/>
      <c r="H18" s="10"/>
      <c r="I18" s="10"/>
      <c r="J18" s="10"/>
      <c r="K18" s="10"/>
      <c r="L18" s="10"/>
      <c r="M18" s="10"/>
      <c r="N18" s="10"/>
      <c r="O18" s="9"/>
      <c r="P18" t="s" s="28">
        <v>21</v>
      </c>
      <c r="Q18" s="29" cm="1">
        <f t="array" ref="Q18">_xlfn.SUMIFS('Cleaned Data'!G1:G1001,'Cleaned Data'!C1:C1001,IF(F6="All","*",F6),'Cleaned Data'!D1:D1001,IF(I6="All","*",I6),'Cleaned Data'!H1:H1001,IF(L6="All","&gt;0",L6),'Cleaned Data'!B1:B1001,P18)</f>
        <v>0</v>
      </c>
      <c r="R18" s="9"/>
      <c r="S18" s="9"/>
      <c r="T18" s="9"/>
      <c r="U18" s="9"/>
      <c r="V18" s="9"/>
      <c r="W18" s="9"/>
      <c r="X18" s="9"/>
      <c r="Y18" s="9"/>
      <c r="Z18" s="9"/>
      <c r="AA18" s="9"/>
      <c r="AB18" s="11"/>
    </row>
    <row r="19" ht="13.55" customHeight="1">
      <c r="A19" s="12"/>
      <c r="B19" s="10"/>
      <c r="C19" s="10"/>
      <c r="D19" s="10"/>
      <c r="E19" s="10"/>
      <c r="F19" s="10"/>
      <c r="G19" s="10"/>
      <c r="H19" s="10"/>
      <c r="I19" s="10"/>
      <c r="J19" s="10"/>
      <c r="K19" s="10"/>
      <c r="L19" s="10"/>
      <c r="M19" s="10"/>
      <c r="N19" s="10"/>
      <c r="O19" s="9"/>
      <c r="P19" t="s" s="28">
        <v>22</v>
      </c>
      <c r="Q19" s="29" cm="1">
        <f t="array" ref="Q19">_xlfn.SUMIFS('Cleaned Data'!G1:G1001,'Cleaned Data'!C1:C1001,IF(F6="All","*",F6),'Cleaned Data'!D1:D1001,IF(I6="All","*",I6),'Cleaned Data'!H1:H1001,IF(L6="All","&gt;0",L6),'Cleaned Data'!B1:B1001,P19)</f>
        <v>0</v>
      </c>
      <c r="R19" s="9"/>
      <c r="S19" s="9"/>
      <c r="T19" s="9"/>
      <c r="U19" s="9"/>
      <c r="V19" s="9"/>
      <c r="W19" s="9"/>
      <c r="X19" s="9"/>
      <c r="Y19" s="9"/>
      <c r="Z19" s="9"/>
      <c r="AA19" s="9"/>
      <c r="AB19" s="11"/>
    </row>
    <row r="20" ht="13.55" customHeight="1">
      <c r="A20" s="12"/>
      <c r="B20" s="10"/>
      <c r="C20" s="10"/>
      <c r="D20" s="10"/>
      <c r="E20" s="10"/>
      <c r="F20" s="10"/>
      <c r="G20" s="10"/>
      <c r="H20" s="10"/>
      <c r="I20" s="10"/>
      <c r="J20" s="10"/>
      <c r="K20" s="10"/>
      <c r="L20" s="10"/>
      <c r="M20" s="10"/>
      <c r="N20" s="10"/>
      <c r="O20" s="9"/>
      <c r="P20" t="s" s="28">
        <v>23</v>
      </c>
      <c r="Q20" s="29" cm="1">
        <f t="array" ref="Q20">_xlfn.SUMIFS('Cleaned Data'!G1:G1001,'Cleaned Data'!C1:C1001,IF(F6="All","*",F6),'Cleaned Data'!D1:D1001,IF(I6="All","*",I6),'Cleaned Data'!H1:H1001,IF(L6="All","&gt;0",L6),'Cleaned Data'!B1:B1001,P20)</f>
        <v>0</v>
      </c>
      <c r="R20" s="9"/>
      <c r="S20" s="9"/>
      <c r="T20" s="9"/>
      <c r="U20" s="9"/>
      <c r="V20" s="9"/>
      <c r="W20" s="9"/>
      <c r="X20" s="9"/>
      <c r="Y20" s="9"/>
      <c r="Z20" s="9"/>
      <c r="AA20" s="9"/>
      <c r="AB20" s="11"/>
    </row>
    <row r="21" ht="13.55" customHeight="1">
      <c r="A21" s="12"/>
      <c r="B21" s="10"/>
      <c r="C21" s="10"/>
      <c r="D21" s="10"/>
      <c r="E21" s="10"/>
      <c r="F21" s="10"/>
      <c r="G21" s="10"/>
      <c r="H21" s="10"/>
      <c r="I21" s="10"/>
      <c r="J21" s="10"/>
      <c r="K21" s="10"/>
      <c r="L21" s="10"/>
      <c r="M21" s="10"/>
      <c r="N21" s="10"/>
      <c r="O21" s="9"/>
      <c r="P21" s="10"/>
      <c r="Q21" s="10"/>
      <c r="R21" s="9"/>
      <c r="S21" s="9"/>
      <c r="T21" s="9"/>
      <c r="U21" s="9"/>
      <c r="V21" s="9"/>
      <c r="W21" s="9"/>
      <c r="X21" s="9"/>
      <c r="Y21" s="9"/>
      <c r="Z21" s="9"/>
      <c r="AA21" s="9"/>
      <c r="AB21" s="11"/>
    </row>
    <row r="22" ht="13.55" customHeight="1">
      <c r="A22" s="12"/>
      <c r="B22" s="10"/>
      <c r="C22" s="10"/>
      <c r="D22" s="10"/>
      <c r="E22" s="10"/>
      <c r="F22" s="10"/>
      <c r="G22" s="10"/>
      <c r="H22" s="10"/>
      <c r="I22" s="10"/>
      <c r="J22" s="10"/>
      <c r="K22" s="10"/>
      <c r="L22" s="10"/>
      <c r="M22" s="10"/>
      <c r="N22" s="10"/>
      <c r="O22" s="9"/>
      <c r="P22" t="s" s="27">
        <v>24</v>
      </c>
      <c r="Q22" t="s" s="27">
        <v>14</v>
      </c>
      <c r="R22" s="9"/>
      <c r="S22" s="9"/>
      <c r="T22" s="9"/>
      <c r="U22" s="9"/>
      <c r="V22" s="9"/>
      <c r="W22" s="9"/>
      <c r="X22" s="9"/>
      <c r="Y22" s="9"/>
      <c r="Z22" s="9"/>
      <c r="AA22" s="9"/>
      <c r="AB22" s="11"/>
    </row>
    <row r="23" ht="13.55" customHeight="1">
      <c r="A23" s="12"/>
      <c r="B23" s="10"/>
      <c r="C23" s="10"/>
      <c r="D23" s="10"/>
      <c r="E23" s="10"/>
      <c r="F23" s="10"/>
      <c r="G23" s="10"/>
      <c r="H23" s="10"/>
      <c r="I23" s="10"/>
      <c r="J23" s="10"/>
      <c r="K23" s="10"/>
      <c r="L23" s="10"/>
      <c r="M23" s="10"/>
      <c r="N23" s="10"/>
      <c r="O23" s="9"/>
      <c r="P23" t="s" s="28">
        <v>25</v>
      </c>
      <c r="Q23" s="29" cm="1">
        <f t="array" ref="Q23">_xlfn.SUMIFS('Cleaned Data'!G1:G1001,'Cleaned Data'!B1:B1001,IF(C6="All","*",C6),'Cleaned Data'!C1:C1001,IF(F6="All","*",F6),'Cleaned Data'!D1:D1001,IF(I6="All","*",I6),'Cleaned Data'!J1:J1001,P23)</f>
        <v>0</v>
      </c>
      <c r="R23" s="9"/>
      <c r="S23" s="9"/>
      <c r="T23" s="9"/>
      <c r="U23" s="9"/>
      <c r="V23" s="9"/>
      <c r="W23" s="9"/>
      <c r="X23" s="9"/>
      <c r="Y23" s="9"/>
      <c r="Z23" s="9"/>
      <c r="AA23" s="9"/>
      <c r="AB23" s="11"/>
    </row>
    <row r="24" ht="13.55" customHeight="1">
      <c r="A24" s="12"/>
      <c r="B24" s="10"/>
      <c r="C24" s="10"/>
      <c r="D24" s="10"/>
      <c r="E24" s="10"/>
      <c r="F24" s="10"/>
      <c r="G24" s="10"/>
      <c r="H24" s="10"/>
      <c r="I24" s="10"/>
      <c r="J24" s="10"/>
      <c r="K24" s="10"/>
      <c r="L24" s="10"/>
      <c r="M24" s="10"/>
      <c r="N24" s="10"/>
      <c r="O24" s="9"/>
      <c r="P24" t="s" s="28">
        <v>26</v>
      </c>
      <c r="Q24" s="29" cm="1">
        <f t="array" ref="Q24">_xlfn.SUMIFS('Cleaned Data'!G1:G1001,'Cleaned Data'!B1:B1001,IF(C6="All","*",C6),'Cleaned Data'!C1:C1001,IF(F6="All","*",F6),'Cleaned Data'!D1:D1001,IF(I6="All","*",I6),'Cleaned Data'!J1:J1001,P24)</f>
        <v>0</v>
      </c>
      <c r="R24" s="9"/>
      <c r="S24" s="9"/>
      <c r="T24" s="9"/>
      <c r="U24" s="9"/>
      <c r="V24" s="9"/>
      <c r="W24" s="9"/>
      <c r="X24" s="9"/>
      <c r="Y24" s="9"/>
      <c r="Z24" s="9"/>
      <c r="AA24" s="9"/>
      <c r="AB24" s="11"/>
    </row>
    <row r="25" ht="13.55" customHeight="1">
      <c r="A25" s="12"/>
      <c r="B25" s="10"/>
      <c r="C25" s="10"/>
      <c r="D25" s="10"/>
      <c r="E25" s="10"/>
      <c r="F25" s="10"/>
      <c r="G25" s="10"/>
      <c r="H25" s="10"/>
      <c r="I25" s="10"/>
      <c r="J25" s="10"/>
      <c r="K25" s="10"/>
      <c r="L25" s="10"/>
      <c r="M25" s="10"/>
      <c r="N25" s="10"/>
      <c r="O25" s="9"/>
      <c r="P25" t="s" s="28">
        <v>27</v>
      </c>
      <c r="Q25" s="29" cm="1">
        <f t="array" ref="Q25">_xlfn.SUMIFS('Cleaned Data'!G1:G1001,'Cleaned Data'!B1:B1001,IF(C6="All","*",C6),'Cleaned Data'!C1:C1001,IF(F6="All","*",F6),'Cleaned Data'!D1:D1001,IF(I6="All","*",I6),'Cleaned Data'!J1:J1001,P25)</f>
        <v>0</v>
      </c>
      <c r="R25" s="9"/>
      <c r="S25" s="9"/>
      <c r="T25" s="9"/>
      <c r="U25" s="9"/>
      <c r="V25" s="9"/>
      <c r="W25" s="9"/>
      <c r="X25" s="9"/>
      <c r="Y25" s="9"/>
      <c r="Z25" s="9"/>
      <c r="AA25" s="9"/>
      <c r="AB25" s="11"/>
    </row>
    <row r="26" ht="13.55" customHeight="1">
      <c r="A26" s="12"/>
      <c r="B26" s="10"/>
      <c r="C26" s="10"/>
      <c r="D26" s="10"/>
      <c r="E26" s="10"/>
      <c r="F26" s="10"/>
      <c r="G26" s="10"/>
      <c r="H26" s="10"/>
      <c r="I26" s="10"/>
      <c r="J26" s="10"/>
      <c r="K26" s="10"/>
      <c r="L26" s="10"/>
      <c r="M26" s="10"/>
      <c r="N26" s="10"/>
      <c r="O26" s="9"/>
      <c r="P26" t="s" s="28">
        <v>28</v>
      </c>
      <c r="Q26" s="29" cm="1">
        <f t="array" ref="Q26">_xlfn.SUMIFS('Cleaned Data'!G1:G1001,'Cleaned Data'!B1:B1001,IF(C6="All","*",C6),'Cleaned Data'!C1:C1001,IF(F6="All","*",F6),'Cleaned Data'!D1:D1001,IF(I6="All","*",I6),'Cleaned Data'!J1:J1001,P26)</f>
        <v>0</v>
      </c>
      <c r="R26" s="9"/>
      <c r="S26" s="9"/>
      <c r="T26" s="9"/>
      <c r="U26" s="9"/>
      <c r="V26" s="9"/>
      <c r="W26" s="9"/>
      <c r="X26" s="9"/>
      <c r="Y26" s="9"/>
      <c r="Z26" s="9"/>
      <c r="AA26" s="9"/>
      <c r="AB26" s="11"/>
    </row>
    <row r="27" ht="13.55" customHeight="1">
      <c r="A27" s="12"/>
      <c r="B27" s="10"/>
      <c r="C27" s="10"/>
      <c r="D27" s="10"/>
      <c r="E27" s="10"/>
      <c r="F27" s="10"/>
      <c r="G27" s="10"/>
      <c r="H27" s="10"/>
      <c r="I27" s="10"/>
      <c r="J27" s="10"/>
      <c r="K27" s="10"/>
      <c r="L27" s="10"/>
      <c r="M27" s="10"/>
      <c r="N27" s="10"/>
      <c r="O27" s="9"/>
      <c r="P27" t="s" s="28">
        <v>29</v>
      </c>
      <c r="Q27" s="29" cm="1">
        <f t="array" ref="Q27">_xlfn.SUMIFS('Cleaned Data'!G1:G1001,'Cleaned Data'!B1:B1001,IF(C6="All","*",C6),'Cleaned Data'!C1:C1001,IF(F6="All","*",F6),'Cleaned Data'!D1:D1001,IF(I6="All","*",I6),'Cleaned Data'!J1:J1001,P27)</f>
        <v>0</v>
      </c>
      <c r="R27" s="9"/>
      <c r="S27" s="9"/>
      <c r="T27" s="9"/>
      <c r="U27" s="9"/>
      <c r="V27" s="9"/>
      <c r="W27" s="9"/>
      <c r="X27" s="9"/>
      <c r="Y27" s="9"/>
      <c r="Z27" s="9"/>
      <c r="AA27" s="9"/>
      <c r="AB27" s="11"/>
    </row>
    <row r="28" ht="13.55" customHeight="1">
      <c r="A28" t="s" s="30">
        <v>30</v>
      </c>
      <c r="B28" s="31"/>
      <c r="C28" s="31"/>
      <c r="D28" s="14"/>
      <c r="E28" s="14"/>
      <c r="F28" s="31"/>
      <c r="G28" s="31"/>
      <c r="H28" s="31"/>
      <c r="I28" s="14"/>
      <c r="J28" s="14"/>
      <c r="K28" s="14"/>
      <c r="L28" s="14"/>
      <c r="M28" s="14"/>
      <c r="N28" s="14"/>
      <c r="O28" s="9"/>
      <c r="P28" t="s" s="28">
        <v>31</v>
      </c>
      <c r="Q28" s="29" cm="1">
        <f t="array" ref="Q28">_xlfn.SUMIFS('Cleaned Data'!G1:G1001,'Cleaned Data'!B1:B1001,IF(C6="All","*",C6),'Cleaned Data'!C1:C1001,IF(F6="All","*",F6),'Cleaned Data'!D1:D1001,IF(I6="All","*",I6),'Cleaned Data'!J1:J1001,P28)</f>
        <v>0</v>
      </c>
      <c r="R28" s="9"/>
      <c r="S28" s="9"/>
      <c r="T28" s="9"/>
      <c r="U28" s="9"/>
      <c r="V28" s="9"/>
      <c r="W28" s="9"/>
      <c r="X28" s="9"/>
      <c r="Y28" s="9"/>
      <c r="Z28" s="9"/>
      <c r="AA28" s="9"/>
      <c r="AB28" s="11"/>
    </row>
    <row r="29" ht="13.55" customHeight="1">
      <c r="A29" t="s" s="32">
        <v>32</v>
      </c>
      <c r="B29" t="s" s="32">
        <v>33</v>
      </c>
      <c r="C29" t="s" s="32">
        <v>34</v>
      </c>
      <c r="D29" s="33"/>
      <c r="E29" s="34"/>
      <c r="F29" t="s" s="32">
        <v>32</v>
      </c>
      <c r="G29" t="s" s="32">
        <v>35</v>
      </c>
      <c r="H29" t="s" s="32">
        <v>34</v>
      </c>
      <c r="I29" s="33"/>
      <c r="J29" s="10"/>
      <c r="K29" s="10"/>
      <c r="L29" s="10"/>
      <c r="M29" s="10"/>
      <c r="N29" s="10"/>
      <c r="O29" s="9"/>
      <c r="P29" t="s" s="28">
        <v>36</v>
      </c>
      <c r="Q29" s="29" cm="1">
        <f t="array" ref="Q29">_xlfn.SUMIFS('Cleaned Data'!G1:G1001,'Cleaned Data'!B1:B1001,IF(C6="All","*",C6),'Cleaned Data'!C1:C1001,IF(F6="All","*",F6),'Cleaned Data'!D1:D1001,IF(I6="All","*",I6),'Cleaned Data'!J1:J1001,P29)</f>
        <v>0</v>
      </c>
      <c r="R29" s="9"/>
      <c r="S29" s="9"/>
      <c r="T29" s="9"/>
      <c r="U29" s="9"/>
      <c r="V29" s="9"/>
      <c r="W29" s="9"/>
      <c r="X29" s="9"/>
      <c r="Y29" s="9"/>
      <c r="Z29" s="9"/>
      <c r="AA29" s="9"/>
      <c r="AB29" s="11"/>
    </row>
    <row r="30" ht="13.75" customHeight="1">
      <c r="A30" s="35" cm="1">
        <f t="array" ref="A30">'Top Performers'!A6</f>
        <v>1</v>
      </c>
      <c r="B30" t="str" s="36" cm="1">
        <f t="array" ref="B30">'Top Performers'!B6</f>
        <v>Priya</v>
      </c>
      <c r="C30" s="37" cm="1">
        <f t="array" ref="C30">'Top Performers'!C6</f>
        <v>80332014</v>
      </c>
      <c r="D30" s="33"/>
      <c r="E30" s="34"/>
      <c r="F30" s="35" cm="1">
        <f t="array" ref="F30">'Top Performers'!A14</f>
        <v>1</v>
      </c>
      <c r="G30" t="str" s="36" cm="1">
        <f t="array" ref="G30">'Top Performers'!B14</f>
        <v>Accessory</v>
      </c>
      <c r="H30" s="37" cm="1">
        <f t="array" ref="H30">'Top Performers'!C14</f>
        <v>110115331</v>
      </c>
      <c r="I30" s="33"/>
      <c r="J30" s="10"/>
      <c r="K30" s="10"/>
      <c r="L30" s="10"/>
      <c r="M30" s="10"/>
      <c r="N30" s="10"/>
      <c r="O30" s="9"/>
      <c r="P30" t="s" s="28">
        <v>39</v>
      </c>
      <c r="Q30" s="29" cm="1">
        <f t="array" ref="Q30">_xlfn.SUMIFS('Cleaned Data'!G1:G1001,'Cleaned Data'!B1:B1001,IF(C6="All","*",C6),'Cleaned Data'!C1:C1001,IF(F6="All","*",F6),'Cleaned Data'!D1:D1001,IF(I6="All","*",I6),'Cleaned Data'!J1:J1001,P30)</f>
        <v>0</v>
      </c>
      <c r="R30" s="9"/>
      <c r="S30" s="9"/>
      <c r="T30" s="9"/>
      <c r="U30" s="9"/>
      <c r="V30" s="9"/>
      <c r="W30" s="9"/>
      <c r="X30" s="9"/>
      <c r="Y30" s="9"/>
      <c r="Z30" s="9"/>
      <c r="AA30" s="9"/>
      <c r="AB30" s="11"/>
    </row>
    <row r="31" ht="13.75" customHeight="1">
      <c r="A31" s="38" cm="1">
        <f t="array" ref="A31">'Top Performers'!A7</f>
        <v>2</v>
      </c>
      <c r="B31" t="str" s="39" cm="1">
        <f t="array" ref="B31">'Top Performers'!B7</f>
        <v>Karan</v>
      </c>
      <c r="C31" s="40" cm="1">
        <f t="array" ref="C31">'Top Performers'!C7</f>
        <v>73021096</v>
      </c>
      <c r="D31" s="33"/>
      <c r="E31" s="34"/>
      <c r="F31" s="38" cm="1">
        <f t="array" ref="F31">'Top Performers'!A15</f>
        <v>2</v>
      </c>
      <c r="G31" t="str" s="39" cm="1">
        <f t="array" ref="G31">'Top Performers'!B15</f>
        <v>Phone</v>
      </c>
      <c r="H31" s="40" cm="1">
        <f t="array" ref="H31">'Top Performers'!C15</f>
        <v>108974946</v>
      </c>
      <c r="I31" s="33"/>
      <c r="J31" s="10"/>
      <c r="K31" s="10"/>
      <c r="L31" s="10"/>
      <c r="M31" s="10"/>
      <c r="N31" s="10"/>
      <c r="O31" s="9"/>
      <c r="P31" t="s" s="28">
        <v>42</v>
      </c>
      <c r="Q31" s="29" cm="1">
        <f t="array" ref="Q31">_xlfn.SUMIFS('Cleaned Data'!G1:G1001,'Cleaned Data'!B1:B1001,IF(C6="All","*",C6),'Cleaned Data'!C1:C1001,IF(F6="All","*",F6),'Cleaned Data'!D1:D1001,IF(I6="All","*",I6),'Cleaned Data'!J1:J1001,P31)</f>
        <v>0</v>
      </c>
      <c r="R31" s="9"/>
      <c r="S31" s="9"/>
      <c r="T31" s="9"/>
      <c r="U31" s="9"/>
      <c r="V31" s="9"/>
      <c r="W31" s="9"/>
      <c r="X31" s="9"/>
      <c r="Y31" s="9"/>
      <c r="Z31" s="9"/>
      <c r="AA31" s="9"/>
      <c r="AB31" s="11"/>
    </row>
    <row r="32" ht="13.75" customHeight="1">
      <c r="A32" s="35" cm="1">
        <f t="array" ref="A32">'Top Performers'!A8</f>
        <v>3</v>
      </c>
      <c r="B32" t="str" s="36" cm="1">
        <f t="array" ref="B32">'Top Performers'!B8</f>
        <v>Sneha</v>
      </c>
      <c r="C32" s="37" cm="1">
        <f t="array" ref="C32">'Top Performers'!C8</f>
        <v>72443697</v>
      </c>
      <c r="D32" s="33"/>
      <c r="E32" s="34"/>
      <c r="F32" s="35" cm="1">
        <f t="array" ref="F32">'Top Performers'!A16</f>
        <v>3</v>
      </c>
      <c r="G32" t="str" s="36" cm="1">
        <f t="array" ref="G32">'Top Performers'!B16</f>
        <v>Tablet</v>
      </c>
      <c r="H32" s="37" cm="1">
        <f t="array" ref="H32">'Top Performers'!C16</f>
        <v>104126322</v>
      </c>
      <c r="I32" s="33"/>
      <c r="J32" s="10"/>
      <c r="K32" s="10"/>
      <c r="L32" s="10"/>
      <c r="M32" s="10"/>
      <c r="N32" s="10"/>
      <c r="O32" s="9"/>
      <c r="P32" t="s" s="28">
        <v>45</v>
      </c>
      <c r="Q32" s="29" cm="1">
        <f t="array" ref="Q32">_xlfn.SUMIFS('Cleaned Data'!G1:G1001,'Cleaned Data'!B1:B1001,IF(C6="All","*",C6),'Cleaned Data'!C1:C1001,IF(F6="All","*",F6),'Cleaned Data'!D1:D1001,IF(I6="All","*",I6),'Cleaned Data'!J1:J1001,P32)</f>
        <v>0</v>
      </c>
      <c r="R32" s="9"/>
      <c r="S32" s="9"/>
      <c r="T32" s="9"/>
      <c r="U32" s="9"/>
      <c r="V32" s="9"/>
      <c r="W32" s="9"/>
      <c r="X32" s="9"/>
      <c r="Y32" s="9"/>
      <c r="Z32" s="9"/>
      <c r="AA32" s="9"/>
      <c r="AB32" s="11"/>
    </row>
    <row r="33" ht="13.75" customHeight="1">
      <c r="A33" s="38" cm="1">
        <f t="array" ref="A33">'Top Performers'!A9</f>
        <v>4</v>
      </c>
      <c r="B33" t="str" s="39" cm="1">
        <f t="array" ref="B33">'Top Performers'!B9</f>
        <v>Neha</v>
      </c>
      <c r="C33" s="40" cm="1">
        <f t="array" ref="C33">'Top Performers'!C9</f>
        <v>68554411</v>
      </c>
      <c r="D33" s="33"/>
      <c r="E33" s="34"/>
      <c r="F33" s="38" cm="1">
        <f t="array" ref="F33">'Top Performers'!A17</f>
        <v>4</v>
      </c>
      <c r="G33" t="str" s="39" cm="1">
        <f t="array" ref="G33">'Top Performers'!B17</f>
        <v>Laptop</v>
      </c>
      <c r="H33" s="40" cm="1">
        <f t="array" ref="H33">'Top Performers'!C17</f>
        <v>102242346</v>
      </c>
      <c r="I33" s="33"/>
      <c r="J33" s="10"/>
      <c r="K33" s="10"/>
      <c r="L33" s="10"/>
      <c r="M33" s="10"/>
      <c r="N33" s="10"/>
      <c r="O33" s="9"/>
      <c r="P33" t="s" s="28">
        <v>48</v>
      </c>
      <c r="Q33" s="29" cm="1">
        <f t="array" ref="Q33">_xlfn.SUMIFS('Cleaned Data'!G1:G1001,'Cleaned Data'!B1:B1001,IF(C6="All","*",C6),'Cleaned Data'!C1:C1001,IF(F6="All","*",F6),'Cleaned Data'!D1:D1001,IF(I6="All","*",I6),'Cleaned Data'!J1:J1001,P33)</f>
        <v>0</v>
      </c>
      <c r="R33" s="9"/>
      <c r="S33" s="9"/>
      <c r="T33" s="9"/>
      <c r="U33" s="9"/>
      <c r="V33" s="9"/>
      <c r="W33" s="9"/>
      <c r="X33" s="9"/>
      <c r="Y33" s="9"/>
      <c r="Z33" s="9"/>
      <c r="AA33" s="9"/>
      <c r="AB33" s="11"/>
    </row>
    <row r="34" ht="13.75" customHeight="1">
      <c r="A34" s="35" cm="1">
        <f t="array" ref="A34">'Top Performers'!A10</f>
        <v>5</v>
      </c>
      <c r="B34" t="str" s="36" cm="1">
        <f t="array" ref="B34">'Top Performers'!B10</f>
        <v>Amit</v>
      </c>
      <c r="C34" s="37" cm="1">
        <f t="array" ref="C34">'Top Performers'!C10</f>
        <v>67691309</v>
      </c>
      <c r="D34" s="33"/>
      <c r="E34" s="10"/>
      <c r="F34" s="41"/>
      <c r="G34" s="41"/>
      <c r="H34" s="41"/>
      <c r="I34" s="10"/>
      <c r="J34" s="10"/>
      <c r="K34" s="10"/>
      <c r="L34" s="10"/>
      <c r="M34" s="10"/>
      <c r="N34" s="10"/>
      <c r="O34" s="9"/>
      <c r="P34" t="s" s="28">
        <v>50</v>
      </c>
      <c r="Q34" s="29" cm="1">
        <f t="array" ref="Q34">_xlfn.SUMIFS('Cleaned Data'!G1:G1001,'Cleaned Data'!B1:B1001,IF(C6="All","*",C6),'Cleaned Data'!C1:C1001,IF(F6="All","*",F6),'Cleaned Data'!D1:D1001,IF(I6="All","*",I6),'Cleaned Data'!J1:J1001,P34)</f>
        <v>0</v>
      </c>
      <c r="R34" s="9"/>
      <c r="S34" s="9"/>
      <c r="T34" s="9"/>
      <c r="U34" s="9"/>
      <c r="V34" s="9"/>
      <c r="W34" s="9"/>
      <c r="X34" s="9"/>
      <c r="Y34" s="9"/>
      <c r="Z34" s="9"/>
      <c r="AA34" s="9"/>
      <c r="AB34" s="11"/>
    </row>
    <row r="35" ht="13.55" customHeight="1">
      <c r="A35" s="42"/>
      <c r="B35" s="41"/>
      <c r="C35" s="41"/>
      <c r="D35" s="10"/>
      <c r="E35" s="10"/>
      <c r="F35" s="10"/>
      <c r="G35" s="10"/>
      <c r="H35" s="10"/>
      <c r="I35" s="10"/>
      <c r="J35" s="10"/>
      <c r="K35" s="10"/>
      <c r="L35" s="10"/>
      <c r="M35" s="10"/>
      <c r="N35" s="10"/>
      <c r="O35" s="9"/>
      <c r="P35" t="s" s="28">
        <v>51</v>
      </c>
      <c r="Q35" s="29" cm="1">
        <f t="array" ref="Q35">_xlfn.SUMIFS('Cleaned Data'!G1:G1001,'Cleaned Data'!B1:B1001,IF(C6="All","*",C6),'Cleaned Data'!C1:C1001,IF(F6="All","*",F6),'Cleaned Data'!D1:D1001,IF(I6="All","*",I6),'Cleaned Data'!J1:J1001,P35)</f>
        <v>0</v>
      </c>
      <c r="R35" s="9"/>
      <c r="S35" s="9"/>
      <c r="T35" s="9"/>
      <c r="U35" s="9"/>
      <c r="V35" s="9"/>
      <c r="W35" s="9"/>
      <c r="X35" s="9"/>
      <c r="Y35" s="9"/>
      <c r="Z35" s="9"/>
      <c r="AA35" s="9"/>
      <c r="AB35" s="11"/>
    </row>
    <row r="36" ht="13.55" customHeight="1">
      <c r="A36" s="12"/>
      <c r="B36" s="10"/>
      <c r="C36" s="10"/>
      <c r="D36" s="10"/>
      <c r="E36" s="10"/>
      <c r="F36" s="10"/>
      <c r="G36" s="10"/>
      <c r="H36" s="10"/>
      <c r="I36" s="10"/>
      <c r="J36" s="10"/>
      <c r="K36" s="10"/>
      <c r="L36" s="10"/>
      <c r="M36" s="10"/>
      <c r="N36" s="10"/>
      <c r="O36" s="9"/>
      <c r="P36" t="s" s="28">
        <v>52</v>
      </c>
      <c r="Q36" s="29" cm="1">
        <f t="array" ref="Q36">_xlfn.SUMIFS('Cleaned Data'!G1:G1001,'Cleaned Data'!B1:B1001,IF(C6="All","*",C6),'Cleaned Data'!C1:C1001,IF(F6="All","*",F6),'Cleaned Data'!D1:D1001,IF(I6="All","*",I6),'Cleaned Data'!J1:J1001,P36)</f>
        <v>0</v>
      </c>
      <c r="R36" s="9"/>
      <c r="S36" s="9"/>
      <c r="T36" s="9"/>
      <c r="U36" s="9"/>
      <c r="V36" s="9"/>
      <c r="W36" s="9"/>
      <c r="X36" s="9"/>
      <c r="Y36" s="9"/>
      <c r="Z36" s="9"/>
      <c r="AA36" s="9"/>
      <c r="AB36" s="11"/>
    </row>
    <row r="37" ht="13.55" customHeight="1">
      <c r="A37" s="12"/>
      <c r="B37" s="10"/>
      <c r="C37" s="10"/>
      <c r="D37" s="10"/>
      <c r="E37" s="10"/>
      <c r="F37" s="10"/>
      <c r="G37" s="10"/>
      <c r="H37" s="10"/>
      <c r="I37" s="10"/>
      <c r="J37" s="10"/>
      <c r="K37" s="10"/>
      <c r="L37" s="10"/>
      <c r="M37" s="10"/>
      <c r="N37" s="10"/>
      <c r="O37" s="9"/>
      <c r="P37" t="s" s="28">
        <v>53</v>
      </c>
      <c r="Q37" s="29" cm="1">
        <f t="array" ref="Q37">_xlfn.SUMIFS('Cleaned Data'!G1:G1001,'Cleaned Data'!B1:B1001,IF(C6="All","*",C6),'Cleaned Data'!C1:C1001,IF(F6="All","*",F6),'Cleaned Data'!D1:D1001,IF(I6="All","*",I6),'Cleaned Data'!J1:J1001,P37)</f>
        <v>0</v>
      </c>
      <c r="R37" s="9"/>
      <c r="S37" s="9"/>
      <c r="T37" s="9"/>
      <c r="U37" s="9"/>
      <c r="V37" s="9"/>
      <c r="W37" s="9"/>
      <c r="X37" s="9"/>
      <c r="Y37" s="9"/>
      <c r="Z37" s="9"/>
      <c r="AA37" s="9"/>
      <c r="AB37" s="11"/>
    </row>
    <row r="38" ht="13.55" customHeight="1">
      <c r="A38" s="12"/>
      <c r="B38" s="10"/>
      <c r="C38" s="10"/>
      <c r="D38" s="10"/>
      <c r="E38" s="10"/>
      <c r="F38" s="10"/>
      <c r="G38" s="10"/>
      <c r="H38" s="10"/>
      <c r="I38" s="10"/>
      <c r="J38" s="10"/>
      <c r="K38" s="10"/>
      <c r="L38" s="10"/>
      <c r="M38" s="10"/>
      <c r="N38" s="10"/>
      <c r="O38" s="9"/>
      <c r="P38" t="s" s="28">
        <v>54</v>
      </c>
      <c r="Q38" s="29" cm="1">
        <f t="array" ref="Q38">_xlfn.SUMIFS('Cleaned Data'!G1:G1001,'Cleaned Data'!B1:B1001,IF(C6="All","*",C6),'Cleaned Data'!C1:C1001,IF(F6="All","*",F6),'Cleaned Data'!D1:D1001,IF(I6="All","*",I6),'Cleaned Data'!J1:J1001,P38)</f>
        <v>0</v>
      </c>
      <c r="R38" s="9"/>
      <c r="S38" s="9"/>
      <c r="T38" s="9"/>
      <c r="U38" s="9"/>
      <c r="V38" s="9"/>
      <c r="W38" s="9"/>
      <c r="X38" s="9"/>
      <c r="Y38" s="9"/>
      <c r="Z38" s="9"/>
      <c r="AA38" s="9"/>
      <c r="AB38" s="11"/>
    </row>
    <row r="39" ht="13.55" customHeight="1">
      <c r="A39" s="12"/>
      <c r="B39" s="10"/>
      <c r="C39" s="10"/>
      <c r="D39" s="10"/>
      <c r="E39" s="10"/>
      <c r="F39" s="10"/>
      <c r="G39" s="10"/>
      <c r="H39" s="10"/>
      <c r="I39" s="10"/>
      <c r="J39" s="10"/>
      <c r="K39" s="10"/>
      <c r="L39" s="10"/>
      <c r="M39" s="10"/>
      <c r="N39" s="10"/>
      <c r="O39" s="9"/>
      <c r="P39" t="s" s="28">
        <v>55</v>
      </c>
      <c r="Q39" s="29" cm="1">
        <f t="array" ref="Q39">_xlfn.SUMIFS('Cleaned Data'!G1:G1001,'Cleaned Data'!B1:B1001,IF(C6="All","*",C6),'Cleaned Data'!C1:C1001,IF(F6="All","*",F6),'Cleaned Data'!D1:D1001,IF(I6="All","*",I6),'Cleaned Data'!J1:J1001,P39)</f>
        <v>0</v>
      </c>
      <c r="R39" s="9"/>
      <c r="S39" s="9"/>
      <c r="T39" s="9"/>
      <c r="U39" s="9"/>
      <c r="V39" s="9"/>
      <c r="W39" s="9"/>
      <c r="X39" s="9"/>
      <c r="Y39" s="9"/>
      <c r="Z39" s="9"/>
      <c r="AA39" s="9"/>
      <c r="AB39" s="11"/>
    </row>
    <row r="40" ht="13.55" customHeight="1">
      <c r="A40" s="12"/>
      <c r="B40" s="10"/>
      <c r="C40" s="10"/>
      <c r="D40" s="10"/>
      <c r="E40" s="10"/>
      <c r="F40" s="10"/>
      <c r="G40" s="10"/>
      <c r="H40" s="10"/>
      <c r="I40" s="10"/>
      <c r="J40" s="10"/>
      <c r="K40" s="10"/>
      <c r="L40" s="10"/>
      <c r="M40" s="10"/>
      <c r="N40" s="10"/>
      <c r="O40" s="9"/>
      <c r="P40" t="s" s="28">
        <v>56</v>
      </c>
      <c r="Q40" s="29" cm="1">
        <f t="array" ref="Q40">_xlfn.SUMIFS('Cleaned Data'!G1:G1001,'Cleaned Data'!B1:B1001,IF(C6="All","*",C6),'Cleaned Data'!C1:C1001,IF(F6="All","*",F6),'Cleaned Data'!D1:D1001,IF(I6="All","*",I6),'Cleaned Data'!J1:J1001,P40)</f>
        <v>0</v>
      </c>
      <c r="R40" s="9"/>
      <c r="S40" s="9"/>
      <c r="T40" s="9"/>
      <c r="U40" s="9"/>
      <c r="V40" s="9"/>
      <c r="W40" s="9"/>
      <c r="X40" s="9"/>
      <c r="Y40" s="9"/>
      <c r="Z40" s="9"/>
      <c r="AA40" s="9"/>
      <c r="AB40" s="11"/>
    </row>
    <row r="41" ht="13.55" customHeight="1">
      <c r="A41" s="12"/>
      <c r="B41" s="10"/>
      <c r="C41" s="10"/>
      <c r="D41" s="10"/>
      <c r="E41" s="10"/>
      <c r="F41" s="10"/>
      <c r="G41" s="10"/>
      <c r="H41" s="10"/>
      <c r="I41" s="10"/>
      <c r="J41" s="10"/>
      <c r="K41" s="10"/>
      <c r="L41" s="10"/>
      <c r="M41" s="10"/>
      <c r="N41" s="10"/>
      <c r="O41" s="9"/>
      <c r="P41" t="s" s="28">
        <v>57</v>
      </c>
      <c r="Q41" s="29" cm="1">
        <f t="array" ref="Q41">_xlfn.SUMIFS('Cleaned Data'!G1:G1001,'Cleaned Data'!B1:B1001,IF(C6="All","*",C6),'Cleaned Data'!C1:C1001,IF(F6="All","*",F6),'Cleaned Data'!D1:D1001,IF(I6="All","*",I6),'Cleaned Data'!J1:J1001,P41)</f>
        <v>0</v>
      </c>
      <c r="R41" s="9"/>
      <c r="S41" s="9"/>
      <c r="T41" s="9"/>
      <c r="U41" s="9"/>
      <c r="V41" s="9"/>
      <c r="W41" s="9"/>
      <c r="X41" s="9"/>
      <c r="Y41" s="9"/>
      <c r="Z41" s="9"/>
      <c r="AA41" s="9"/>
      <c r="AB41" s="11"/>
    </row>
    <row r="42" ht="13.55" customHeight="1">
      <c r="A42" s="12"/>
      <c r="B42" s="10"/>
      <c r="C42" s="10"/>
      <c r="D42" s="10"/>
      <c r="E42" s="10"/>
      <c r="F42" s="10"/>
      <c r="G42" s="10"/>
      <c r="H42" s="10"/>
      <c r="I42" s="10"/>
      <c r="J42" s="10"/>
      <c r="K42" s="10"/>
      <c r="L42" s="10"/>
      <c r="M42" s="10"/>
      <c r="N42" s="10"/>
      <c r="O42" s="9"/>
      <c r="P42" t="s" s="28">
        <v>58</v>
      </c>
      <c r="Q42" s="29" cm="1">
        <f t="array" ref="Q42">_xlfn.SUMIFS('Cleaned Data'!G1:G1001,'Cleaned Data'!B1:B1001,IF(C6="All","*",C6),'Cleaned Data'!C1:C1001,IF(F6="All","*",F6),'Cleaned Data'!D1:D1001,IF(I6="All","*",I6),'Cleaned Data'!J1:J1001,P42)</f>
        <v>0</v>
      </c>
      <c r="R42" s="9"/>
      <c r="S42" s="9"/>
      <c r="T42" s="9"/>
      <c r="U42" s="9"/>
      <c r="V42" s="9"/>
      <c r="W42" s="9"/>
      <c r="X42" s="9"/>
      <c r="Y42" s="9"/>
      <c r="Z42" s="9"/>
      <c r="AA42" s="9"/>
      <c r="AB42" s="11"/>
    </row>
    <row r="43" ht="13.55" customHeight="1">
      <c r="A43" s="12"/>
      <c r="B43" s="10"/>
      <c r="C43" s="10"/>
      <c r="D43" s="10"/>
      <c r="E43" s="10"/>
      <c r="F43" s="10"/>
      <c r="G43" s="10"/>
      <c r="H43" s="10"/>
      <c r="I43" s="10"/>
      <c r="J43" s="10"/>
      <c r="K43" s="10"/>
      <c r="L43" s="10"/>
      <c r="M43" s="10"/>
      <c r="N43" s="10"/>
      <c r="O43" s="9"/>
      <c r="P43" t="s" s="28">
        <v>59</v>
      </c>
      <c r="Q43" s="29" cm="1">
        <f t="array" ref="Q43">_xlfn.SUMIFS('Cleaned Data'!G1:G1001,'Cleaned Data'!B1:B1001,IF(C6="All","*",C6),'Cleaned Data'!C1:C1001,IF(F6="All","*",F6),'Cleaned Data'!D1:D1001,IF(I6="All","*",I6),'Cleaned Data'!J1:J1001,P43)</f>
        <v>0</v>
      </c>
      <c r="R43" s="9"/>
      <c r="S43" s="9"/>
      <c r="T43" s="9"/>
      <c r="U43" s="9"/>
      <c r="V43" s="9"/>
      <c r="W43" s="9"/>
      <c r="X43" s="9"/>
      <c r="Y43" s="9"/>
      <c r="Z43" s="9"/>
      <c r="AA43" s="9"/>
      <c r="AB43" s="11"/>
    </row>
    <row r="44" ht="13.55" customHeight="1">
      <c r="A44" s="12"/>
      <c r="B44" s="10"/>
      <c r="C44" s="10"/>
      <c r="D44" s="10"/>
      <c r="E44" s="10"/>
      <c r="F44" s="10"/>
      <c r="G44" s="10"/>
      <c r="H44" s="10"/>
      <c r="I44" s="10"/>
      <c r="J44" s="10"/>
      <c r="K44" s="10"/>
      <c r="L44" s="10"/>
      <c r="M44" s="10"/>
      <c r="N44" s="10"/>
      <c r="O44" s="9"/>
      <c r="P44" t="s" s="28">
        <v>60</v>
      </c>
      <c r="Q44" s="29" cm="1">
        <f t="array" ref="Q44">_xlfn.SUMIFS('Cleaned Data'!G1:G1001,'Cleaned Data'!B1:B1001,IF(C6="All","*",C6),'Cleaned Data'!C1:C1001,IF(F6="All","*",F6),'Cleaned Data'!D1:D1001,IF(I6="All","*",I6),'Cleaned Data'!J1:J1001,P44)</f>
        <v>0</v>
      </c>
      <c r="R44" s="9"/>
      <c r="S44" s="9"/>
      <c r="T44" s="9"/>
      <c r="U44" s="9"/>
      <c r="V44" s="9"/>
      <c r="W44" s="9"/>
      <c r="X44" s="9"/>
      <c r="Y44" s="9"/>
      <c r="Z44" s="9"/>
      <c r="AA44" s="9"/>
      <c r="AB44" s="11"/>
    </row>
    <row r="45" ht="13.55" customHeight="1">
      <c r="A45" s="12"/>
      <c r="B45" s="10"/>
      <c r="C45" s="10"/>
      <c r="D45" s="10"/>
      <c r="E45" s="10"/>
      <c r="F45" s="10"/>
      <c r="G45" s="10"/>
      <c r="H45" s="10"/>
      <c r="I45" s="10"/>
      <c r="J45" s="10"/>
      <c r="K45" s="10"/>
      <c r="L45" s="10"/>
      <c r="M45" s="10"/>
      <c r="N45" s="10"/>
      <c r="O45" s="9"/>
      <c r="P45" t="s" s="28">
        <v>61</v>
      </c>
      <c r="Q45" s="29" cm="1">
        <f t="array" ref="Q45">_xlfn.SUMIFS('Cleaned Data'!G1:G1001,'Cleaned Data'!B1:B1001,IF(C6="All","*",C6),'Cleaned Data'!C1:C1001,IF(F6="All","*",F6),'Cleaned Data'!D1:D1001,IF(I6="All","*",I6),'Cleaned Data'!J1:J1001,P45)</f>
        <v>0</v>
      </c>
      <c r="R45" s="9"/>
      <c r="S45" s="9"/>
      <c r="T45" s="9"/>
      <c r="U45" s="9"/>
      <c r="V45" s="9"/>
      <c r="W45" s="9"/>
      <c r="X45" s="9"/>
      <c r="Y45" s="9"/>
      <c r="Z45" s="9"/>
      <c r="AA45" s="9"/>
      <c r="AB45" s="11"/>
    </row>
    <row r="46" ht="13.55" customHeight="1">
      <c r="A46" s="12"/>
      <c r="B46" s="10"/>
      <c r="C46" s="10"/>
      <c r="D46" s="10"/>
      <c r="E46" s="10"/>
      <c r="F46" s="10"/>
      <c r="G46" s="10"/>
      <c r="H46" s="10"/>
      <c r="I46" s="10"/>
      <c r="J46" s="10"/>
      <c r="K46" s="10"/>
      <c r="L46" s="10"/>
      <c r="M46" s="10"/>
      <c r="N46" s="10"/>
      <c r="O46" s="9"/>
      <c r="P46" t="s" s="28">
        <v>62</v>
      </c>
      <c r="Q46" s="29" cm="1">
        <f t="array" ref="Q46">_xlfn.SUMIFS('Cleaned Data'!G1:G1001,'Cleaned Data'!B1:B1001,IF(C6="All","*",C6),'Cleaned Data'!C1:C1001,IF(F6="All","*",F6),'Cleaned Data'!D1:D1001,IF(I6="All","*",I6),'Cleaned Data'!J1:J1001,P46)</f>
        <v>0</v>
      </c>
      <c r="R46" s="9"/>
      <c r="S46" s="9"/>
      <c r="T46" s="9"/>
      <c r="U46" s="9"/>
      <c r="V46" s="9"/>
      <c r="W46" s="9"/>
      <c r="X46" s="9"/>
      <c r="Y46" s="9"/>
      <c r="Z46" s="9"/>
      <c r="AA46" s="9"/>
      <c r="AB46" s="11"/>
    </row>
    <row r="47" ht="13.55" customHeight="1">
      <c r="A47" s="12"/>
      <c r="B47" s="10"/>
      <c r="C47" s="10"/>
      <c r="D47" s="10"/>
      <c r="E47" s="10"/>
      <c r="F47" s="10"/>
      <c r="G47" s="10"/>
      <c r="H47" s="10"/>
      <c r="I47" s="10"/>
      <c r="J47" s="10"/>
      <c r="K47" s="10"/>
      <c r="L47" s="10"/>
      <c r="M47" s="10"/>
      <c r="N47" s="10"/>
      <c r="O47" s="9"/>
      <c r="P47" t="s" s="28">
        <v>63</v>
      </c>
      <c r="Q47" s="29" cm="1">
        <f t="array" ref="Q47">_xlfn.SUMIFS('Cleaned Data'!G1:G1001,'Cleaned Data'!B1:B1001,IF(C6="All","*",C6),'Cleaned Data'!C1:C1001,IF(F6="All","*",F6),'Cleaned Data'!D1:D1001,IF(I6="All","*",I6),'Cleaned Data'!J1:J1001,P47)</f>
        <v>0</v>
      </c>
      <c r="R47" s="9"/>
      <c r="S47" s="9"/>
      <c r="T47" s="9"/>
      <c r="U47" s="9"/>
      <c r="V47" s="9"/>
      <c r="W47" s="9"/>
      <c r="X47" s="9"/>
      <c r="Y47" s="9"/>
      <c r="Z47" s="9"/>
      <c r="AA47" s="9"/>
      <c r="AB47" s="11"/>
    </row>
    <row r="48" ht="13.55" customHeight="1">
      <c r="A48" s="12"/>
      <c r="B48" s="10"/>
      <c r="C48" s="10"/>
      <c r="D48" s="10"/>
      <c r="E48" s="10"/>
      <c r="F48" s="10"/>
      <c r="G48" s="10"/>
      <c r="H48" s="10"/>
      <c r="I48" s="10"/>
      <c r="J48" s="10"/>
      <c r="K48" s="10"/>
      <c r="L48" s="10"/>
      <c r="M48" s="10"/>
      <c r="N48" s="10"/>
      <c r="O48" s="9"/>
      <c r="P48" t="s" s="28">
        <v>64</v>
      </c>
      <c r="Q48" s="29" cm="1">
        <f t="array" ref="Q48">_xlfn.SUMIFS('Cleaned Data'!G1:G1001,'Cleaned Data'!B1:B1001,IF(C6="All","*",C6),'Cleaned Data'!C1:C1001,IF(F6="All","*",F6),'Cleaned Data'!D1:D1001,IF(I6="All","*",I6),'Cleaned Data'!J1:J1001,P48)</f>
        <v>0</v>
      </c>
      <c r="R48" s="9"/>
      <c r="S48" s="9"/>
      <c r="T48" s="9"/>
      <c r="U48" s="9"/>
      <c r="V48" s="9"/>
      <c r="W48" s="9"/>
      <c r="X48" s="9"/>
      <c r="Y48" s="9"/>
      <c r="Z48" s="9"/>
      <c r="AA48" s="9"/>
      <c r="AB48" s="11"/>
    </row>
    <row r="49" ht="13.55" customHeight="1">
      <c r="A49" s="12"/>
      <c r="B49" s="10"/>
      <c r="C49" s="10"/>
      <c r="D49" s="10"/>
      <c r="E49" s="10"/>
      <c r="F49" s="10"/>
      <c r="G49" s="10"/>
      <c r="H49" s="10"/>
      <c r="I49" s="10"/>
      <c r="J49" s="10"/>
      <c r="K49" s="10"/>
      <c r="L49" s="10"/>
      <c r="M49" s="10"/>
      <c r="N49" s="10"/>
      <c r="O49" s="9"/>
      <c r="P49" t="s" s="28">
        <v>65</v>
      </c>
      <c r="Q49" s="29" cm="1">
        <f t="array" ref="Q49">_xlfn.SUMIFS('Cleaned Data'!G1:G1001,'Cleaned Data'!B1:B1001,IF(C6="All","*",C6),'Cleaned Data'!C1:C1001,IF(F6="All","*",F6),'Cleaned Data'!D1:D1001,IF(I6="All","*",I6),'Cleaned Data'!J1:J1001,P49)</f>
        <v>0</v>
      </c>
      <c r="R49" s="9"/>
      <c r="S49" s="9"/>
      <c r="T49" s="9"/>
      <c r="U49" s="9"/>
      <c r="V49" s="9"/>
      <c r="W49" s="9"/>
      <c r="X49" s="9"/>
      <c r="Y49" s="9"/>
      <c r="Z49" s="9"/>
      <c r="AA49" s="9"/>
      <c r="AB49" s="11"/>
    </row>
    <row r="50" ht="13.55" customHeight="1">
      <c r="A50" s="12"/>
      <c r="B50" s="10"/>
      <c r="C50" s="10"/>
      <c r="D50" s="10"/>
      <c r="E50" s="10"/>
      <c r="F50" s="10"/>
      <c r="G50" s="10"/>
      <c r="H50" s="10"/>
      <c r="I50" s="10"/>
      <c r="J50" s="10"/>
      <c r="K50" s="10"/>
      <c r="L50" s="10"/>
      <c r="M50" s="10"/>
      <c r="N50" s="10"/>
      <c r="O50" s="9"/>
      <c r="P50" t="s" s="28">
        <v>66</v>
      </c>
      <c r="Q50" s="29" cm="1">
        <f t="array" ref="Q50">_xlfn.SUMIFS('Cleaned Data'!G1:G1001,'Cleaned Data'!B1:B1001,IF(C6="All","*",C6),'Cleaned Data'!C1:C1001,IF(F6="All","*",F6),'Cleaned Data'!D1:D1001,IF(I6="All","*",I6),'Cleaned Data'!J1:J1001,P50)</f>
        <v>0</v>
      </c>
      <c r="R50" s="9"/>
      <c r="S50" s="9"/>
      <c r="T50" s="9"/>
      <c r="U50" s="9"/>
      <c r="V50" s="9"/>
      <c r="W50" s="9"/>
      <c r="X50" s="9"/>
      <c r="Y50" s="9"/>
      <c r="Z50" s="9"/>
      <c r="AA50" s="9"/>
      <c r="AB50" s="11"/>
    </row>
    <row r="51" ht="13.55" customHeight="1">
      <c r="A51" s="12"/>
      <c r="B51" s="10"/>
      <c r="C51" s="10"/>
      <c r="D51" s="10"/>
      <c r="E51" s="10"/>
      <c r="F51" s="10"/>
      <c r="G51" s="10"/>
      <c r="H51" s="10"/>
      <c r="I51" s="10"/>
      <c r="J51" s="10"/>
      <c r="K51" s="10"/>
      <c r="L51" s="10"/>
      <c r="M51" s="10"/>
      <c r="N51" s="10"/>
      <c r="O51" s="9"/>
      <c r="P51" t="s" s="28">
        <v>67</v>
      </c>
      <c r="Q51" s="29" cm="1">
        <f t="array" ref="Q51">_xlfn.SUMIFS('Cleaned Data'!G1:G1001,'Cleaned Data'!B1:B1001,IF(C6="All","*",C6),'Cleaned Data'!C1:C1001,IF(F6="All","*",F6),'Cleaned Data'!D1:D1001,IF(I6="All","*",I6),'Cleaned Data'!J1:J1001,P51)</f>
        <v>0</v>
      </c>
      <c r="R51" s="9"/>
      <c r="S51" s="9"/>
      <c r="T51" s="9"/>
      <c r="U51" s="9"/>
      <c r="V51" s="9"/>
      <c r="W51" s="9"/>
      <c r="X51" s="9"/>
      <c r="Y51" s="9"/>
      <c r="Z51" s="9"/>
      <c r="AA51" s="9"/>
      <c r="AB51" s="11"/>
    </row>
    <row r="52" ht="13.55" customHeight="1">
      <c r="A52" s="12"/>
      <c r="B52" s="10"/>
      <c r="C52" s="10"/>
      <c r="D52" s="10"/>
      <c r="E52" s="10"/>
      <c r="F52" s="10"/>
      <c r="G52" s="10"/>
      <c r="H52" s="10"/>
      <c r="I52" s="10"/>
      <c r="J52" s="10"/>
      <c r="K52" s="10"/>
      <c r="L52" s="10"/>
      <c r="M52" s="10"/>
      <c r="N52" s="10"/>
      <c r="O52" s="9"/>
      <c r="P52" t="s" s="28">
        <v>68</v>
      </c>
      <c r="Q52" s="29" cm="1">
        <f t="array" ref="Q52">_xlfn.SUMIFS('Cleaned Data'!G1:G1001,'Cleaned Data'!B1:B1001,IF(C6="All","*",C6),'Cleaned Data'!C1:C1001,IF(F6="All","*",F6),'Cleaned Data'!D1:D1001,IF(I6="All","*",I6),'Cleaned Data'!J1:J1001,P52)</f>
        <v>0</v>
      </c>
      <c r="R52" s="9"/>
      <c r="S52" s="9"/>
      <c r="T52" s="9"/>
      <c r="U52" s="9"/>
      <c r="V52" s="9"/>
      <c r="W52" s="9"/>
      <c r="X52" s="9"/>
      <c r="Y52" s="9"/>
      <c r="Z52" s="9"/>
      <c r="AA52" s="9"/>
      <c r="AB52" s="11"/>
    </row>
    <row r="53" ht="13.55" customHeight="1">
      <c r="A53" s="12"/>
      <c r="B53" s="10"/>
      <c r="C53" s="10"/>
      <c r="D53" s="10"/>
      <c r="E53" s="10"/>
      <c r="F53" s="10"/>
      <c r="G53" s="10"/>
      <c r="H53" s="10"/>
      <c r="I53" s="10"/>
      <c r="J53" s="10"/>
      <c r="K53" s="10"/>
      <c r="L53" s="10"/>
      <c r="M53" s="10"/>
      <c r="N53" s="10"/>
      <c r="O53" s="9"/>
      <c r="P53" t="s" s="28">
        <v>69</v>
      </c>
      <c r="Q53" s="29" cm="1">
        <f t="array" ref="Q53">_xlfn.SUMIFS('Cleaned Data'!G1:G1001,'Cleaned Data'!B1:B1001,IF(C6="All","*",C6),'Cleaned Data'!C1:C1001,IF(F6="All","*",F6),'Cleaned Data'!D1:D1001,IF(I6="All","*",I6),'Cleaned Data'!J1:J1001,P53)</f>
        <v>0</v>
      </c>
      <c r="R53" s="9"/>
      <c r="S53" s="9"/>
      <c r="T53" s="9"/>
      <c r="U53" s="9"/>
      <c r="V53" s="9"/>
      <c r="W53" s="9"/>
      <c r="X53" s="9"/>
      <c r="Y53" s="9"/>
      <c r="Z53" s="9"/>
      <c r="AA53" s="9"/>
      <c r="AB53" s="11"/>
    </row>
    <row r="54" ht="13.55" customHeight="1">
      <c r="A54" s="12"/>
      <c r="B54" s="10"/>
      <c r="C54" s="10"/>
      <c r="D54" s="10"/>
      <c r="E54" s="10"/>
      <c r="F54" s="10"/>
      <c r="G54" s="10"/>
      <c r="H54" s="10"/>
      <c r="I54" s="10"/>
      <c r="J54" s="10"/>
      <c r="K54" s="10"/>
      <c r="L54" s="10"/>
      <c r="M54" s="10"/>
      <c r="N54" s="10"/>
      <c r="O54" s="9"/>
      <c r="P54" t="s" s="28">
        <v>70</v>
      </c>
      <c r="Q54" s="29" cm="1">
        <f t="array" ref="Q54">_xlfn.SUMIFS('Cleaned Data'!G1:G1001,'Cleaned Data'!B1:B1001,IF(C6="All","*",C6),'Cleaned Data'!C1:C1001,IF(F6="All","*",F6),'Cleaned Data'!D1:D1001,IF(I6="All","*",I6),'Cleaned Data'!J1:J1001,P54)</f>
        <v>0</v>
      </c>
      <c r="R54" s="9"/>
      <c r="S54" s="9"/>
      <c r="T54" s="9"/>
      <c r="U54" s="9"/>
      <c r="V54" s="9"/>
      <c r="W54" s="9"/>
      <c r="X54" s="9"/>
      <c r="Y54" s="9"/>
      <c r="Z54" s="9"/>
      <c r="AA54" s="9"/>
      <c r="AB54" s="11"/>
    </row>
    <row r="55" ht="13.55" customHeight="1">
      <c r="A55" s="43"/>
      <c r="B55" s="44"/>
      <c r="C55" s="44"/>
      <c r="D55" s="44"/>
      <c r="E55" s="44"/>
      <c r="F55" s="44"/>
      <c r="G55" s="44"/>
      <c r="H55" s="44"/>
      <c r="I55" s="44"/>
      <c r="J55" s="44"/>
      <c r="K55" s="44"/>
      <c r="L55" s="44"/>
      <c r="M55" s="44"/>
      <c r="N55" s="44"/>
      <c r="O55" s="45"/>
      <c r="P55" t="s" s="46">
        <v>71</v>
      </c>
      <c r="Q55" s="47" cm="1">
        <f t="array" ref="Q55">_xlfn.SUMIFS('Cleaned Data'!G1:G1001,'Cleaned Data'!B1:B1001,IF(C6="All","*",C6),'Cleaned Data'!C1:C1001,IF(F6="All","*",F6),'Cleaned Data'!D1:D1001,IF(I6="All","*",I6),'Cleaned Data'!J1:J1001,P55)</f>
        <v>0</v>
      </c>
      <c r="R55" s="45"/>
      <c r="S55" s="45"/>
      <c r="T55" s="45"/>
      <c r="U55" s="45"/>
      <c r="V55" s="45"/>
      <c r="W55" s="45"/>
      <c r="X55" s="45"/>
      <c r="Y55" s="45"/>
      <c r="Z55" s="45"/>
      <c r="AA55" s="45"/>
      <c r="AB55" s="48"/>
    </row>
  </sheetData>
  <mergeCells count="13">
    <mergeCell ref="A1:N1"/>
    <mergeCell ref="A2:N2"/>
    <mergeCell ref="A4:N4"/>
    <mergeCell ref="A7:C7"/>
    <mergeCell ref="D7:F7"/>
    <mergeCell ref="G7:I7"/>
    <mergeCell ref="J7:L7"/>
    <mergeCell ref="A8:C8"/>
    <mergeCell ref="D8:F8"/>
    <mergeCell ref="G8:I8"/>
    <mergeCell ref="J8:L8"/>
    <mergeCell ref="A9:N9"/>
    <mergeCell ref="A28:N28"/>
  </mergeCells>
  <dataValidations count="4">
    <dataValidation type="list" allowBlank="1" showInputMessage="1" showErrorMessage="1" sqref="C5">
      <formula1>"All,North,South,East,West"</formula1>
    </dataValidation>
    <dataValidation type="list" allowBlank="1" showInputMessage="1" showErrorMessage="1" sqref="F5">
      <formula1>"All,Priya,Karan,Amit,Neha,Sneha,Rahul"</formula1>
    </dataValidation>
    <dataValidation type="list" allowBlank="1" showInputMessage="1" showErrorMessage="1" sqref="I5">
      <formula1>"All,Phone,Accessory,Laptop,Tablet"</formula1>
    </dataValidation>
    <dataValidation type="list" allowBlank="1" showInputMessage="1" showErrorMessage="1" sqref="L5">
      <formula1>"All,2024,2025,2026"</formula1>
    </dataValidation>
  </dataValidation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J1001"/>
  <sheetViews>
    <sheetView workbookViewId="0" showGridLines="0" defaultGridColor="1"/>
  </sheetViews>
  <sheetFormatPr defaultColWidth="8.66667" defaultRowHeight="15.4" customHeight="1" outlineLevelRow="0" outlineLevelCol="0"/>
  <cols>
    <col min="1" max="1" width="12" style="49" customWidth="1"/>
    <col min="2" max="2" width="10" style="49" customWidth="1"/>
    <col min="3" max="3" width="13" style="49" customWidth="1"/>
    <col min="4" max="5" width="11" style="49" customWidth="1"/>
    <col min="6" max="7" width="15" style="49" customWidth="1"/>
    <col min="8" max="8" width="7" style="49" customWidth="1"/>
    <col min="9" max="9" width="9" style="49" customWidth="1"/>
    <col min="10" max="10" width="11" style="49" customWidth="1"/>
    <col min="11" max="16384" width="8.67188" style="49" customWidth="1"/>
  </cols>
  <sheetData>
    <row r="1" ht="13.55" customHeight="1">
      <c r="A1" t="s" s="50">
        <v>72</v>
      </c>
      <c r="B1" t="s" s="50">
        <v>19</v>
      </c>
      <c r="C1" t="s" s="50">
        <v>73</v>
      </c>
      <c r="D1" t="s" s="50">
        <v>13</v>
      </c>
      <c r="E1" t="s" s="50">
        <v>74</v>
      </c>
      <c r="F1" t="s" s="50">
        <v>75</v>
      </c>
      <c r="G1" t="s" s="50">
        <v>34</v>
      </c>
      <c r="H1" t="s" s="50">
        <v>76</v>
      </c>
      <c r="I1" t="s" s="50">
        <v>77</v>
      </c>
      <c r="J1" t="s" s="50">
        <v>24</v>
      </c>
    </row>
    <row r="2" ht="13.55" customHeight="1">
      <c r="A2" s="51">
        <v>45292</v>
      </c>
      <c r="B2" t="s" s="52">
        <v>20</v>
      </c>
      <c r="C2" t="s" s="52">
        <v>78</v>
      </c>
      <c r="D2" t="s" s="52">
        <v>15</v>
      </c>
      <c r="E2" s="53">
        <v>16</v>
      </c>
      <c r="F2" s="54">
        <v>39217</v>
      </c>
      <c r="G2" s="54" cm="1">
        <f t="array" ref="G2">E2*F2</f>
        <v>627472</v>
      </c>
      <c r="H2" s="53" cm="1">
        <f t="array" ref="H2">YEAR(A2)</f>
        <v>2024</v>
      </c>
      <c r="I2" t="str" s="55" cm="1">
        <f t="array" ref="I2">"Q"&amp;ROUNDUP(MONTH(A2)/3,0)</f>
        <v>Q1</v>
      </c>
      <c r="J2" t="s" s="52">
        <v>25</v>
      </c>
    </row>
    <row r="3" ht="13.55" customHeight="1">
      <c r="A3" s="56">
        <v>45293</v>
      </c>
      <c r="B3" t="s" s="57">
        <v>20</v>
      </c>
      <c r="C3" t="s" s="57">
        <v>80</v>
      </c>
      <c r="D3" t="s" s="57">
        <v>16</v>
      </c>
      <c r="E3" s="58">
        <v>12</v>
      </c>
      <c r="F3" s="59">
        <v>32048</v>
      </c>
      <c r="G3" s="59" cm="1">
        <f t="array" ref="G3">E3*F3</f>
        <v>384576</v>
      </c>
      <c r="H3" s="58" cm="1">
        <f t="array" ref="H3">YEAR(A3)</f>
        <v>2024</v>
      </c>
      <c r="I3" t="str" s="60" cm="1">
        <f t="array" ref="I3">"Q"&amp;ROUNDUP(MONTH(A3)/3,0)</f>
        <v>Q1</v>
      </c>
      <c r="J3" t="s" s="57">
        <v>25</v>
      </c>
    </row>
    <row r="4" ht="13.55" customHeight="1">
      <c r="A4" s="51">
        <v>45293</v>
      </c>
      <c r="B4" t="s" s="52">
        <v>21</v>
      </c>
      <c r="C4" t="s" s="52">
        <v>81</v>
      </c>
      <c r="D4" t="s" s="52">
        <v>17</v>
      </c>
      <c r="E4" s="53">
        <v>11</v>
      </c>
      <c r="F4" s="54">
        <v>37821</v>
      </c>
      <c r="G4" s="54" cm="1">
        <f t="array" ref="G4">E4*F4</f>
        <v>416031</v>
      </c>
      <c r="H4" s="53" cm="1">
        <f t="array" ref="H4">YEAR(A4)</f>
        <v>2024</v>
      </c>
      <c r="I4" t="str" s="55" cm="1">
        <f t="array" ref="I4">"Q"&amp;ROUNDUP(MONTH(A4)/3,0)</f>
        <v>Q1</v>
      </c>
      <c r="J4" t="s" s="52">
        <v>25</v>
      </c>
    </row>
    <row r="5" ht="13.55" customHeight="1">
      <c r="A5" s="56">
        <v>45293</v>
      </c>
      <c r="B5" t="s" s="57">
        <v>20</v>
      </c>
      <c r="C5" t="s" s="57">
        <v>81</v>
      </c>
      <c r="D5" t="s" s="57">
        <v>15</v>
      </c>
      <c r="E5" s="58">
        <v>9</v>
      </c>
      <c r="F5" s="59">
        <v>74212</v>
      </c>
      <c r="G5" s="59" cm="1">
        <f t="array" ref="G5">E5*F5</f>
        <v>667908</v>
      </c>
      <c r="H5" s="58" cm="1">
        <f t="array" ref="H5">YEAR(A5)</f>
        <v>2024</v>
      </c>
      <c r="I5" t="str" s="60" cm="1">
        <f t="array" ref="I5">"Q"&amp;ROUNDUP(MONTH(A5)/3,0)</f>
        <v>Q1</v>
      </c>
      <c r="J5" t="s" s="57">
        <v>25</v>
      </c>
    </row>
    <row r="6" ht="13.55" customHeight="1">
      <c r="A6" s="51">
        <v>45296</v>
      </c>
      <c r="B6" t="s" s="52">
        <v>21</v>
      </c>
      <c r="C6" t="s" s="52">
        <v>82</v>
      </c>
      <c r="D6" t="s" s="52">
        <v>16</v>
      </c>
      <c r="E6" s="53">
        <v>14</v>
      </c>
      <c r="F6" s="54">
        <v>60863</v>
      </c>
      <c r="G6" s="54" cm="1">
        <f t="array" ref="G6">E6*F6</f>
        <v>852082</v>
      </c>
      <c r="H6" s="53" cm="1">
        <f t="array" ref="H6">YEAR(A6)</f>
        <v>2024</v>
      </c>
      <c r="I6" t="str" s="55" cm="1">
        <f t="array" ref="I6">"Q"&amp;ROUNDUP(MONTH(A6)/3,0)</f>
        <v>Q1</v>
      </c>
      <c r="J6" t="s" s="52">
        <v>25</v>
      </c>
    </row>
    <row r="7" ht="13.55" customHeight="1">
      <c r="A7" s="56">
        <v>45296</v>
      </c>
      <c r="B7" t="s" s="57">
        <v>21</v>
      </c>
      <c r="C7" t="s" s="57">
        <v>82</v>
      </c>
      <c r="D7" t="s" s="57">
        <v>16</v>
      </c>
      <c r="E7" s="58">
        <v>13</v>
      </c>
      <c r="F7" s="59">
        <v>17356</v>
      </c>
      <c r="G7" s="59" cm="1">
        <f t="array" ref="G7">E7*F7</f>
        <v>225628</v>
      </c>
      <c r="H7" s="58" cm="1">
        <f t="array" ref="H7">YEAR(A7)</f>
        <v>2024</v>
      </c>
      <c r="I7" t="str" s="60" cm="1">
        <f t="array" ref="I7">"Q"&amp;ROUNDUP(MONTH(A7)/3,0)</f>
        <v>Q1</v>
      </c>
      <c r="J7" t="s" s="57">
        <v>25</v>
      </c>
    </row>
    <row r="8" ht="13.55" customHeight="1">
      <c r="A8" s="51">
        <v>45299</v>
      </c>
      <c r="B8" t="s" s="52">
        <v>21</v>
      </c>
      <c r="C8" t="s" s="52">
        <v>82</v>
      </c>
      <c r="D8" t="s" s="52">
        <v>15</v>
      </c>
      <c r="E8" s="53">
        <v>19</v>
      </c>
      <c r="F8" s="54">
        <v>52929</v>
      </c>
      <c r="G8" s="54" cm="1">
        <f t="array" ref="G8">E8*F8</f>
        <v>1005651</v>
      </c>
      <c r="H8" s="53" cm="1">
        <f t="array" ref="H8">YEAR(A8)</f>
        <v>2024</v>
      </c>
      <c r="I8" t="str" s="55" cm="1">
        <f t="array" ref="I8">"Q"&amp;ROUNDUP(MONTH(A8)/3,0)</f>
        <v>Q1</v>
      </c>
      <c r="J8" t="s" s="52">
        <v>25</v>
      </c>
    </row>
    <row r="9" ht="13.55" customHeight="1">
      <c r="A9" s="56">
        <v>45300</v>
      </c>
      <c r="B9" t="s" s="57">
        <v>22</v>
      </c>
      <c r="C9" t="s" s="57">
        <v>83</v>
      </c>
      <c r="D9" t="s" s="57">
        <v>18</v>
      </c>
      <c r="E9" s="58">
        <v>3</v>
      </c>
      <c r="F9" s="59">
        <v>56493</v>
      </c>
      <c r="G9" s="59" cm="1">
        <f t="array" ref="G9">E9*F9</f>
        <v>169479</v>
      </c>
      <c r="H9" s="58" cm="1">
        <f t="array" ref="H9">YEAR(A9)</f>
        <v>2024</v>
      </c>
      <c r="I9" t="str" s="60" cm="1">
        <f t="array" ref="I9">"Q"&amp;ROUNDUP(MONTH(A9)/3,0)</f>
        <v>Q1</v>
      </c>
      <c r="J9" t="s" s="57">
        <v>25</v>
      </c>
    </row>
    <row r="10" ht="13.55" customHeight="1">
      <c r="A10" s="51">
        <v>45300</v>
      </c>
      <c r="B10" t="s" s="52">
        <v>21</v>
      </c>
      <c r="C10" t="s" s="52">
        <v>83</v>
      </c>
      <c r="D10" t="s" s="52">
        <v>17</v>
      </c>
      <c r="E10" s="53">
        <v>17</v>
      </c>
      <c r="F10" s="54">
        <v>38722</v>
      </c>
      <c r="G10" s="54" cm="1">
        <f t="array" ref="G10">E10*F10</f>
        <v>658274</v>
      </c>
      <c r="H10" s="53" cm="1">
        <f t="array" ref="H10">YEAR(A10)</f>
        <v>2024</v>
      </c>
      <c r="I10" t="str" s="55" cm="1">
        <f t="array" ref="I10">"Q"&amp;ROUNDUP(MONTH(A10)/3,0)</f>
        <v>Q1</v>
      </c>
      <c r="J10" t="s" s="52">
        <v>25</v>
      </c>
    </row>
    <row r="11" ht="13.55" customHeight="1">
      <c r="A11" s="56">
        <v>45301</v>
      </c>
      <c r="B11" t="s" s="57">
        <v>20</v>
      </c>
      <c r="C11" t="s" s="57">
        <v>78</v>
      </c>
      <c r="D11" t="s" s="57">
        <v>16</v>
      </c>
      <c r="E11" s="58">
        <v>16</v>
      </c>
      <c r="F11" s="59">
        <v>15589</v>
      </c>
      <c r="G11" s="59" cm="1">
        <f t="array" ref="G11">E11*F11</f>
        <v>249424</v>
      </c>
      <c r="H11" s="58" cm="1">
        <f t="array" ref="H11">YEAR(A11)</f>
        <v>2024</v>
      </c>
      <c r="I11" t="str" s="60" cm="1">
        <f t="array" ref="I11">"Q"&amp;ROUNDUP(MONTH(A11)/3,0)</f>
        <v>Q1</v>
      </c>
      <c r="J11" t="s" s="57">
        <v>25</v>
      </c>
    </row>
    <row r="12" ht="13.55" customHeight="1">
      <c r="A12" s="51">
        <v>45303</v>
      </c>
      <c r="B12" t="s" s="52">
        <v>21</v>
      </c>
      <c r="C12" t="s" s="52">
        <v>78</v>
      </c>
      <c r="D12" t="s" s="52">
        <v>17</v>
      </c>
      <c r="E12" s="53">
        <v>18</v>
      </c>
      <c r="F12" s="54">
        <v>38885</v>
      </c>
      <c r="G12" s="54" cm="1">
        <f t="array" ref="G12">E12*F12</f>
        <v>699930</v>
      </c>
      <c r="H12" s="53" cm="1">
        <f t="array" ref="H12">YEAR(A12)</f>
        <v>2024</v>
      </c>
      <c r="I12" t="str" s="55" cm="1">
        <f t="array" ref="I12">"Q"&amp;ROUNDUP(MONTH(A12)/3,0)</f>
        <v>Q1</v>
      </c>
      <c r="J12" t="s" s="52">
        <v>25</v>
      </c>
    </row>
    <row r="13" ht="13.55" customHeight="1">
      <c r="A13" s="56">
        <v>45303</v>
      </c>
      <c r="B13" t="s" s="57">
        <v>20</v>
      </c>
      <c r="C13" t="s" s="57">
        <v>82</v>
      </c>
      <c r="D13" t="s" s="57">
        <v>16</v>
      </c>
      <c r="E13" s="58">
        <v>15</v>
      </c>
      <c r="F13" s="59">
        <v>15283</v>
      </c>
      <c r="G13" s="59" cm="1">
        <f t="array" ref="G13">E13*F13</f>
        <v>229245</v>
      </c>
      <c r="H13" s="58" cm="1">
        <f t="array" ref="H13">YEAR(A13)</f>
        <v>2024</v>
      </c>
      <c r="I13" t="str" s="60" cm="1">
        <f t="array" ref="I13">"Q"&amp;ROUNDUP(MONTH(A13)/3,0)</f>
        <v>Q1</v>
      </c>
      <c r="J13" t="s" s="57">
        <v>25</v>
      </c>
    </row>
    <row r="14" ht="13.55" customHeight="1">
      <c r="A14" s="51">
        <v>45305</v>
      </c>
      <c r="B14" t="s" s="52">
        <v>21</v>
      </c>
      <c r="C14" t="s" s="52">
        <v>82</v>
      </c>
      <c r="D14" t="s" s="52">
        <v>16</v>
      </c>
      <c r="E14" s="53">
        <v>4</v>
      </c>
      <c r="F14" s="54">
        <v>20438</v>
      </c>
      <c r="G14" s="54" cm="1">
        <f t="array" ref="G14">E14*F14</f>
        <v>81752</v>
      </c>
      <c r="H14" s="53" cm="1">
        <f t="array" ref="H14">YEAR(A14)</f>
        <v>2024</v>
      </c>
      <c r="I14" t="str" s="55" cm="1">
        <f t="array" ref="I14">"Q"&amp;ROUNDUP(MONTH(A14)/3,0)</f>
        <v>Q1</v>
      </c>
      <c r="J14" t="s" s="52">
        <v>25</v>
      </c>
    </row>
    <row r="15" ht="13.55" customHeight="1">
      <c r="A15" s="56">
        <v>45306</v>
      </c>
      <c r="B15" t="s" s="57">
        <v>21</v>
      </c>
      <c r="C15" t="s" s="57">
        <v>80</v>
      </c>
      <c r="D15" t="s" s="57">
        <v>15</v>
      </c>
      <c r="E15" s="58">
        <v>13</v>
      </c>
      <c r="F15" s="59">
        <v>74463</v>
      </c>
      <c r="G15" s="59" cm="1">
        <f t="array" ref="G15">E15*F15</f>
        <v>968019</v>
      </c>
      <c r="H15" s="58" cm="1">
        <f t="array" ref="H15">YEAR(A15)</f>
        <v>2024</v>
      </c>
      <c r="I15" t="str" s="60" cm="1">
        <f t="array" ref="I15">"Q"&amp;ROUNDUP(MONTH(A15)/3,0)</f>
        <v>Q1</v>
      </c>
      <c r="J15" t="s" s="57">
        <v>25</v>
      </c>
    </row>
    <row r="16" ht="13.55" customHeight="1">
      <c r="A16" s="51">
        <v>45306</v>
      </c>
      <c r="B16" t="s" s="52">
        <v>23</v>
      </c>
      <c r="C16" t="s" s="52">
        <v>81</v>
      </c>
      <c r="D16" t="s" s="52">
        <v>17</v>
      </c>
      <c r="E16" s="53">
        <v>19</v>
      </c>
      <c r="F16" s="54">
        <v>28248</v>
      </c>
      <c r="G16" s="54" cm="1">
        <f t="array" ref="G16">E16*F16</f>
        <v>536712</v>
      </c>
      <c r="H16" s="53" cm="1">
        <f t="array" ref="H16">YEAR(A16)</f>
        <v>2024</v>
      </c>
      <c r="I16" t="str" s="55" cm="1">
        <f t="array" ref="I16">"Q"&amp;ROUNDUP(MONTH(A16)/3,0)</f>
        <v>Q1</v>
      </c>
      <c r="J16" t="s" s="52">
        <v>25</v>
      </c>
    </row>
    <row r="17" ht="13.55" customHeight="1">
      <c r="A17" s="56">
        <v>45307</v>
      </c>
      <c r="B17" t="s" s="57">
        <v>20</v>
      </c>
      <c r="C17" t="s" s="57">
        <v>81</v>
      </c>
      <c r="D17" t="s" s="57">
        <v>15</v>
      </c>
      <c r="E17" s="58">
        <v>11</v>
      </c>
      <c r="F17" s="59">
        <v>51675</v>
      </c>
      <c r="G17" s="59" cm="1">
        <f t="array" ref="G17">E17*F17</f>
        <v>568425</v>
      </c>
      <c r="H17" s="58" cm="1">
        <f t="array" ref="H17">YEAR(A17)</f>
        <v>2024</v>
      </c>
      <c r="I17" t="str" s="60" cm="1">
        <f t="array" ref="I17">"Q"&amp;ROUNDUP(MONTH(A17)/3,0)</f>
        <v>Q1</v>
      </c>
      <c r="J17" t="s" s="57">
        <v>25</v>
      </c>
    </row>
    <row r="18" ht="13.55" customHeight="1">
      <c r="A18" s="51">
        <v>45308</v>
      </c>
      <c r="B18" t="s" s="52">
        <v>22</v>
      </c>
      <c r="C18" t="s" s="52">
        <v>80</v>
      </c>
      <c r="D18" t="s" s="52">
        <v>15</v>
      </c>
      <c r="E18" s="53">
        <v>14</v>
      </c>
      <c r="F18" s="54">
        <v>75014</v>
      </c>
      <c r="G18" s="54" cm="1">
        <f t="array" ref="G18">E18*F18</f>
        <v>1050196</v>
      </c>
      <c r="H18" s="53" cm="1">
        <f t="array" ref="H18">YEAR(A18)</f>
        <v>2024</v>
      </c>
      <c r="I18" t="str" s="55" cm="1">
        <f t="array" ref="I18">"Q"&amp;ROUNDUP(MONTH(A18)/3,0)</f>
        <v>Q1</v>
      </c>
      <c r="J18" t="s" s="52">
        <v>25</v>
      </c>
    </row>
    <row r="19" ht="13.55" customHeight="1">
      <c r="A19" s="56">
        <v>45309</v>
      </c>
      <c r="B19" t="s" s="57">
        <v>20</v>
      </c>
      <c r="C19" t="s" s="57">
        <v>81</v>
      </c>
      <c r="D19" t="s" s="57">
        <v>18</v>
      </c>
      <c r="E19" s="58">
        <v>19</v>
      </c>
      <c r="F19" s="59">
        <v>5570</v>
      </c>
      <c r="G19" s="59" cm="1">
        <f t="array" ref="G19">E19*F19</f>
        <v>105830</v>
      </c>
      <c r="H19" s="58" cm="1">
        <f t="array" ref="H19">YEAR(A19)</f>
        <v>2024</v>
      </c>
      <c r="I19" t="str" s="60" cm="1">
        <f t="array" ref="I19">"Q"&amp;ROUNDUP(MONTH(A19)/3,0)</f>
        <v>Q1</v>
      </c>
      <c r="J19" t="s" s="57">
        <v>25</v>
      </c>
    </row>
    <row r="20" ht="13.55" customHeight="1">
      <c r="A20" s="51">
        <v>45310</v>
      </c>
      <c r="B20" t="s" s="52">
        <v>22</v>
      </c>
      <c r="C20" t="s" s="52">
        <v>78</v>
      </c>
      <c r="D20" t="s" s="52">
        <v>15</v>
      </c>
      <c r="E20" s="53">
        <v>5</v>
      </c>
      <c r="F20" s="54">
        <v>60021</v>
      </c>
      <c r="G20" s="54" cm="1">
        <f t="array" ref="G20">E20*F20</f>
        <v>300105</v>
      </c>
      <c r="H20" s="53" cm="1">
        <f t="array" ref="H20">YEAR(A20)</f>
        <v>2024</v>
      </c>
      <c r="I20" t="str" s="55" cm="1">
        <f t="array" ref="I20">"Q"&amp;ROUNDUP(MONTH(A20)/3,0)</f>
        <v>Q1</v>
      </c>
      <c r="J20" t="s" s="52">
        <v>25</v>
      </c>
    </row>
    <row r="21" ht="13.55" customHeight="1">
      <c r="A21" s="56">
        <v>45311</v>
      </c>
      <c r="B21" t="s" s="57">
        <v>20</v>
      </c>
      <c r="C21" t="s" s="57">
        <v>78</v>
      </c>
      <c r="D21" t="s" s="57">
        <v>18</v>
      </c>
      <c r="E21" s="58">
        <v>4</v>
      </c>
      <c r="F21" s="59">
        <v>71798</v>
      </c>
      <c r="G21" s="59" cm="1">
        <f t="array" ref="G21">E21*F21</f>
        <v>287192</v>
      </c>
      <c r="H21" s="58" cm="1">
        <f t="array" ref="H21">YEAR(A21)</f>
        <v>2024</v>
      </c>
      <c r="I21" t="str" s="60" cm="1">
        <f t="array" ref="I21">"Q"&amp;ROUNDUP(MONTH(A21)/3,0)</f>
        <v>Q1</v>
      </c>
      <c r="J21" t="s" s="57">
        <v>25</v>
      </c>
    </row>
    <row r="22" ht="13.55" customHeight="1">
      <c r="A22" s="51">
        <v>45312</v>
      </c>
      <c r="B22" t="s" s="52">
        <v>21</v>
      </c>
      <c r="C22" t="s" s="52">
        <v>80</v>
      </c>
      <c r="D22" t="s" s="52">
        <v>15</v>
      </c>
      <c r="E22" s="53">
        <v>8</v>
      </c>
      <c r="F22" s="54">
        <v>24552</v>
      </c>
      <c r="G22" s="54" cm="1">
        <f t="array" ref="G22">E22*F22</f>
        <v>196416</v>
      </c>
      <c r="H22" s="53" cm="1">
        <f t="array" ref="H22">YEAR(A22)</f>
        <v>2024</v>
      </c>
      <c r="I22" t="str" s="55" cm="1">
        <f t="array" ref="I22">"Q"&amp;ROUNDUP(MONTH(A22)/3,0)</f>
        <v>Q1</v>
      </c>
      <c r="J22" t="s" s="52">
        <v>25</v>
      </c>
    </row>
    <row r="23" ht="13.55" customHeight="1">
      <c r="A23" s="56">
        <v>45312</v>
      </c>
      <c r="B23" t="s" s="57">
        <v>21</v>
      </c>
      <c r="C23" t="s" s="57">
        <v>82</v>
      </c>
      <c r="D23" t="s" s="57">
        <v>16</v>
      </c>
      <c r="E23" s="58">
        <v>1</v>
      </c>
      <c r="F23" s="59">
        <v>34084</v>
      </c>
      <c r="G23" s="59" cm="1">
        <f t="array" ref="G23">E23*F23</f>
        <v>34084</v>
      </c>
      <c r="H23" s="58" cm="1">
        <f t="array" ref="H23">YEAR(A23)</f>
        <v>2024</v>
      </c>
      <c r="I23" t="str" s="60" cm="1">
        <f t="array" ref="I23">"Q"&amp;ROUNDUP(MONTH(A23)/3,0)</f>
        <v>Q1</v>
      </c>
      <c r="J23" t="s" s="57">
        <v>25</v>
      </c>
    </row>
    <row r="24" ht="13.55" customHeight="1">
      <c r="A24" s="51">
        <v>45313</v>
      </c>
      <c r="B24" t="s" s="52">
        <v>22</v>
      </c>
      <c r="C24" t="s" s="52">
        <v>80</v>
      </c>
      <c r="D24" t="s" s="52">
        <v>18</v>
      </c>
      <c r="E24" s="53">
        <v>3</v>
      </c>
      <c r="F24" s="54">
        <v>50833</v>
      </c>
      <c r="G24" s="54" cm="1">
        <f t="array" ref="G24">E24*F24</f>
        <v>152499</v>
      </c>
      <c r="H24" s="53" cm="1">
        <f t="array" ref="H24">YEAR(A24)</f>
        <v>2024</v>
      </c>
      <c r="I24" t="str" s="55" cm="1">
        <f t="array" ref="I24">"Q"&amp;ROUNDUP(MONTH(A24)/3,0)</f>
        <v>Q1</v>
      </c>
      <c r="J24" t="s" s="52">
        <v>25</v>
      </c>
    </row>
    <row r="25" ht="13.55" customHeight="1">
      <c r="A25" s="56">
        <v>45313</v>
      </c>
      <c r="B25" t="s" s="57">
        <v>22</v>
      </c>
      <c r="C25" t="s" s="57">
        <v>82</v>
      </c>
      <c r="D25" t="s" s="57">
        <v>16</v>
      </c>
      <c r="E25" s="58">
        <v>7</v>
      </c>
      <c r="F25" s="59">
        <v>69286</v>
      </c>
      <c r="G25" s="59" cm="1">
        <f t="array" ref="G25">E25*F25</f>
        <v>485002</v>
      </c>
      <c r="H25" s="58" cm="1">
        <f t="array" ref="H25">YEAR(A25)</f>
        <v>2024</v>
      </c>
      <c r="I25" t="str" s="60" cm="1">
        <f t="array" ref="I25">"Q"&amp;ROUNDUP(MONTH(A25)/3,0)</f>
        <v>Q1</v>
      </c>
      <c r="J25" t="s" s="57">
        <v>25</v>
      </c>
    </row>
    <row r="26" ht="13.55" customHeight="1">
      <c r="A26" s="51">
        <v>45314</v>
      </c>
      <c r="B26" t="s" s="52">
        <v>23</v>
      </c>
      <c r="C26" t="s" s="52">
        <v>84</v>
      </c>
      <c r="D26" t="s" s="52">
        <v>16</v>
      </c>
      <c r="E26" s="53">
        <v>1</v>
      </c>
      <c r="F26" s="54">
        <v>13597</v>
      </c>
      <c r="G26" s="54" cm="1">
        <f t="array" ref="G26">E26*F26</f>
        <v>13597</v>
      </c>
      <c r="H26" s="53" cm="1">
        <f t="array" ref="H26">YEAR(A26)</f>
        <v>2024</v>
      </c>
      <c r="I26" t="str" s="55" cm="1">
        <f t="array" ref="I26">"Q"&amp;ROUNDUP(MONTH(A26)/3,0)</f>
        <v>Q1</v>
      </c>
      <c r="J26" t="s" s="52">
        <v>25</v>
      </c>
    </row>
    <row r="27" ht="13.55" customHeight="1">
      <c r="A27" s="56">
        <v>45316</v>
      </c>
      <c r="B27" t="s" s="57">
        <v>21</v>
      </c>
      <c r="C27" t="s" s="57">
        <v>78</v>
      </c>
      <c r="D27" t="s" s="57">
        <v>17</v>
      </c>
      <c r="E27" s="58">
        <v>3</v>
      </c>
      <c r="F27" s="59">
        <v>13002</v>
      </c>
      <c r="G27" s="59" cm="1">
        <f t="array" ref="G27">E27*F27</f>
        <v>39006</v>
      </c>
      <c r="H27" s="58" cm="1">
        <f t="array" ref="H27">YEAR(A27)</f>
        <v>2024</v>
      </c>
      <c r="I27" t="str" s="60" cm="1">
        <f t="array" ref="I27">"Q"&amp;ROUNDUP(MONTH(A27)/3,0)</f>
        <v>Q1</v>
      </c>
      <c r="J27" t="s" s="57">
        <v>25</v>
      </c>
    </row>
    <row r="28" ht="13.55" customHeight="1">
      <c r="A28" s="51">
        <v>45318</v>
      </c>
      <c r="B28" t="s" s="52">
        <v>23</v>
      </c>
      <c r="C28" t="s" s="52">
        <v>84</v>
      </c>
      <c r="D28" t="s" s="52">
        <v>15</v>
      </c>
      <c r="E28" s="53">
        <v>8</v>
      </c>
      <c r="F28" s="54">
        <v>40618</v>
      </c>
      <c r="G28" s="54" cm="1">
        <f t="array" ref="G28">E28*F28</f>
        <v>324944</v>
      </c>
      <c r="H28" s="53" cm="1">
        <f t="array" ref="H28">YEAR(A28)</f>
        <v>2024</v>
      </c>
      <c r="I28" t="str" s="55" cm="1">
        <f t="array" ref="I28">"Q"&amp;ROUNDUP(MONTH(A28)/3,0)</f>
        <v>Q1</v>
      </c>
      <c r="J28" t="s" s="52">
        <v>25</v>
      </c>
    </row>
    <row r="29" ht="13.55" customHeight="1">
      <c r="A29" s="56">
        <v>45319</v>
      </c>
      <c r="B29" t="s" s="57">
        <v>23</v>
      </c>
      <c r="C29" t="s" s="57">
        <v>84</v>
      </c>
      <c r="D29" t="s" s="57">
        <v>16</v>
      </c>
      <c r="E29" s="58">
        <v>6</v>
      </c>
      <c r="F29" s="59">
        <v>35954</v>
      </c>
      <c r="G29" s="59" cm="1">
        <f t="array" ref="G29">E29*F29</f>
        <v>215724</v>
      </c>
      <c r="H29" s="58" cm="1">
        <f t="array" ref="H29">YEAR(A29)</f>
        <v>2024</v>
      </c>
      <c r="I29" t="str" s="60" cm="1">
        <f t="array" ref="I29">"Q"&amp;ROUNDUP(MONTH(A29)/3,0)</f>
        <v>Q1</v>
      </c>
      <c r="J29" t="s" s="57">
        <v>25</v>
      </c>
    </row>
    <row r="30" ht="13.55" customHeight="1">
      <c r="A30" s="51">
        <v>45319</v>
      </c>
      <c r="B30" t="s" s="52">
        <v>23</v>
      </c>
      <c r="C30" t="s" s="52">
        <v>80</v>
      </c>
      <c r="D30" t="s" s="52">
        <v>15</v>
      </c>
      <c r="E30" s="53">
        <v>11</v>
      </c>
      <c r="F30" s="54">
        <v>33927</v>
      </c>
      <c r="G30" s="54" cm="1">
        <f t="array" ref="G30">E30*F30</f>
        <v>373197</v>
      </c>
      <c r="H30" s="53" cm="1">
        <f t="array" ref="H30">YEAR(A30)</f>
        <v>2024</v>
      </c>
      <c r="I30" t="str" s="55" cm="1">
        <f t="array" ref="I30">"Q"&amp;ROUNDUP(MONTH(A30)/3,0)</f>
        <v>Q1</v>
      </c>
      <c r="J30" t="s" s="52">
        <v>25</v>
      </c>
    </row>
    <row r="31" ht="13.55" customHeight="1">
      <c r="A31" s="56">
        <v>45320</v>
      </c>
      <c r="B31" t="s" s="57">
        <v>21</v>
      </c>
      <c r="C31" t="s" s="57">
        <v>80</v>
      </c>
      <c r="D31" t="s" s="57">
        <v>17</v>
      </c>
      <c r="E31" s="58">
        <v>16</v>
      </c>
      <c r="F31" s="59">
        <v>73309</v>
      </c>
      <c r="G31" s="59" cm="1">
        <f t="array" ref="G31">E31*F31</f>
        <v>1172944</v>
      </c>
      <c r="H31" s="58" cm="1">
        <f t="array" ref="H31">YEAR(A31)</f>
        <v>2024</v>
      </c>
      <c r="I31" t="str" s="60" cm="1">
        <f t="array" ref="I31">"Q"&amp;ROUNDUP(MONTH(A31)/3,0)</f>
        <v>Q1</v>
      </c>
      <c r="J31" t="s" s="57">
        <v>25</v>
      </c>
    </row>
    <row r="32" ht="13.55" customHeight="1">
      <c r="A32" s="51">
        <v>45324</v>
      </c>
      <c r="B32" t="s" s="52">
        <v>23</v>
      </c>
      <c r="C32" t="s" s="52">
        <v>81</v>
      </c>
      <c r="D32" t="s" s="52">
        <v>18</v>
      </c>
      <c r="E32" s="53">
        <v>3</v>
      </c>
      <c r="F32" s="54">
        <v>33901</v>
      </c>
      <c r="G32" s="54" cm="1">
        <f t="array" ref="G32">E32*F32</f>
        <v>101703</v>
      </c>
      <c r="H32" s="53" cm="1">
        <f t="array" ref="H32">YEAR(A32)</f>
        <v>2024</v>
      </c>
      <c r="I32" t="str" s="55" cm="1">
        <f t="array" ref="I32">"Q"&amp;ROUNDUP(MONTH(A32)/3,0)</f>
        <v>Q1</v>
      </c>
      <c r="J32" t="s" s="52">
        <v>26</v>
      </c>
    </row>
    <row r="33" ht="13.55" customHeight="1">
      <c r="A33" s="56">
        <v>45324</v>
      </c>
      <c r="B33" t="s" s="57">
        <v>20</v>
      </c>
      <c r="C33" t="s" s="57">
        <v>78</v>
      </c>
      <c r="D33" t="s" s="57">
        <v>15</v>
      </c>
      <c r="E33" s="58">
        <v>17</v>
      </c>
      <c r="F33" s="59">
        <v>73814</v>
      </c>
      <c r="G33" s="59" cm="1">
        <f t="array" ref="G33">E33*F33</f>
        <v>1254838</v>
      </c>
      <c r="H33" s="58" cm="1">
        <f t="array" ref="H33">YEAR(A33)</f>
        <v>2024</v>
      </c>
      <c r="I33" t="str" s="60" cm="1">
        <f t="array" ref="I33">"Q"&amp;ROUNDUP(MONTH(A33)/3,0)</f>
        <v>Q1</v>
      </c>
      <c r="J33" t="s" s="57">
        <v>26</v>
      </c>
    </row>
    <row r="34" ht="13.55" customHeight="1">
      <c r="A34" s="51">
        <v>45326</v>
      </c>
      <c r="B34" t="s" s="52">
        <v>20</v>
      </c>
      <c r="C34" t="s" s="52">
        <v>80</v>
      </c>
      <c r="D34" t="s" s="52">
        <v>18</v>
      </c>
      <c r="E34" s="53">
        <v>5</v>
      </c>
      <c r="F34" s="54">
        <v>78903</v>
      </c>
      <c r="G34" s="54" cm="1">
        <f t="array" ref="G34">E34*F34</f>
        <v>394515</v>
      </c>
      <c r="H34" s="53" cm="1">
        <f t="array" ref="H34">YEAR(A34)</f>
        <v>2024</v>
      </c>
      <c r="I34" t="str" s="55" cm="1">
        <f t="array" ref="I34">"Q"&amp;ROUNDUP(MONTH(A34)/3,0)</f>
        <v>Q1</v>
      </c>
      <c r="J34" t="s" s="52">
        <v>26</v>
      </c>
    </row>
    <row r="35" ht="13.55" customHeight="1">
      <c r="A35" s="56">
        <v>45326</v>
      </c>
      <c r="B35" t="s" s="57">
        <v>23</v>
      </c>
      <c r="C35" t="s" s="57">
        <v>81</v>
      </c>
      <c r="D35" t="s" s="57">
        <v>16</v>
      </c>
      <c r="E35" s="58">
        <v>6</v>
      </c>
      <c r="F35" s="59">
        <v>36923</v>
      </c>
      <c r="G35" s="59" cm="1">
        <f t="array" ref="G35">E35*F35</f>
        <v>221538</v>
      </c>
      <c r="H35" s="58" cm="1">
        <f t="array" ref="H35">YEAR(A35)</f>
        <v>2024</v>
      </c>
      <c r="I35" t="str" s="60" cm="1">
        <f t="array" ref="I35">"Q"&amp;ROUNDUP(MONTH(A35)/3,0)</f>
        <v>Q1</v>
      </c>
      <c r="J35" t="s" s="57">
        <v>26</v>
      </c>
    </row>
    <row r="36" ht="13.55" customHeight="1">
      <c r="A36" s="51">
        <v>45327</v>
      </c>
      <c r="B36" t="s" s="52">
        <v>23</v>
      </c>
      <c r="C36" t="s" s="52">
        <v>81</v>
      </c>
      <c r="D36" t="s" s="52">
        <v>17</v>
      </c>
      <c r="E36" s="53">
        <v>7</v>
      </c>
      <c r="F36" s="54">
        <v>6700</v>
      </c>
      <c r="G36" s="54" cm="1">
        <f t="array" ref="G36">E36*F36</f>
        <v>46900</v>
      </c>
      <c r="H36" s="53" cm="1">
        <f t="array" ref="H36">YEAR(A36)</f>
        <v>2024</v>
      </c>
      <c r="I36" t="str" s="55" cm="1">
        <f t="array" ref="I36">"Q"&amp;ROUNDUP(MONTH(A36)/3,0)</f>
        <v>Q1</v>
      </c>
      <c r="J36" t="s" s="52">
        <v>26</v>
      </c>
    </row>
    <row r="37" ht="13.55" customHeight="1">
      <c r="A37" s="56">
        <v>45327</v>
      </c>
      <c r="B37" t="s" s="57">
        <v>22</v>
      </c>
      <c r="C37" t="s" s="57">
        <v>82</v>
      </c>
      <c r="D37" t="s" s="57">
        <v>18</v>
      </c>
      <c r="E37" s="58">
        <v>12</v>
      </c>
      <c r="F37" s="59">
        <v>30517</v>
      </c>
      <c r="G37" s="59" cm="1">
        <f t="array" ref="G37">E37*F37</f>
        <v>366204</v>
      </c>
      <c r="H37" s="58" cm="1">
        <f t="array" ref="H37">YEAR(A37)</f>
        <v>2024</v>
      </c>
      <c r="I37" t="str" s="60" cm="1">
        <f t="array" ref="I37">"Q"&amp;ROUNDUP(MONTH(A37)/3,0)</f>
        <v>Q1</v>
      </c>
      <c r="J37" t="s" s="57">
        <v>26</v>
      </c>
    </row>
    <row r="38" ht="13.55" customHeight="1">
      <c r="A38" s="51">
        <v>45328</v>
      </c>
      <c r="B38" t="s" s="52">
        <v>22</v>
      </c>
      <c r="C38" t="s" s="52">
        <v>80</v>
      </c>
      <c r="D38" t="s" s="52">
        <v>17</v>
      </c>
      <c r="E38" s="53">
        <v>12</v>
      </c>
      <c r="F38" s="54">
        <v>69551</v>
      </c>
      <c r="G38" s="54" cm="1">
        <f t="array" ref="G38">E38*F38</f>
        <v>834612</v>
      </c>
      <c r="H38" s="53" cm="1">
        <f t="array" ref="H38">YEAR(A38)</f>
        <v>2024</v>
      </c>
      <c r="I38" t="str" s="55" cm="1">
        <f t="array" ref="I38">"Q"&amp;ROUNDUP(MONTH(A38)/3,0)</f>
        <v>Q1</v>
      </c>
      <c r="J38" t="s" s="52">
        <v>26</v>
      </c>
    </row>
    <row r="39" ht="13.55" customHeight="1">
      <c r="A39" s="56">
        <v>45328</v>
      </c>
      <c r="B39" t="s" s="57">
        <v>22</v>
      </c>
      <c r="C39" t="s" s="57">
        <v>84</v>
      </c>
      <c r="D39" t="s" s="57">
        <v>17</v>
      </c>
      <c r="E39" s="58">
        <v>2</v>
      </c>
      <c r="F39" s="59">
        <v>73798</v>
      </c>
      <c r="G39" s="59" cm="1">
        <f t="array" ref="G39">E39*F39</f>
        <v>147596</v>
      </c>
      <c r="H39" s="58" cm="1">
        <f t="array" ref="H39">YEAR(A39)</f>
        <v>2024</v>
      </c>
      <c r="I39" t="str" s="60" cm="1">
        <f t="array" ref="I39">"Q"&amp;ROUNDUP(MONTH(A39)/3,0)</f>
        <v>Q1</v>
      </c>
      <c r="J39" t="s" s="57">
        <v>26</v>
      </c>
    </row>
    <row r="40" ht="13.55" customHeight="1">
      <c r="A40" s="51">
        <v>45328</v>
      </c>
      <c r="B40" t="s" s="52">
        <v>22</v>
      </c>
      <c r="C40" t="s" s="52">
        <v>78</v>
      </c>
      <c r="D40" t="s" s="52">
        <v>17</v>
      </c>
      <c r="E40" s="53">
        <v>16</v>
      </c>
      <c r="F40" s="54">
        <v>39642</v>
      </c>
      <c r="G40" s="54" cm="1">
        <f t="array" ref="G40">E40*F40</f>
        <v>634272</v>
      </c>
      <c r="H40" s="53" cm="1">
        <f t="array" ref="H40">YEAR(A40)</f>
        <v>2024</v>
      </c>
      <c r="I40" t="str" s="55" cm="1">
        <f t="array" ref="I40">"Q"&amp;ROUNDUP(MONTH(A40)/3,0)</f>
        <v>Q1</v>
      </c>
      <c r="J40" t="s" s="52">
        <v>26</v>
      </c>
    </row>
    <row r="41" ht="13.55" customHeight="1">
      <c r="A41" s="56">
        <v>45329</v>
      </c>
      <c r="B41" t="s" s="57">
        <v>21</v>
      </c>
      <c r="C41" t="s" s="57">
        <v>83</v>
      </c>
      <c r="D41" t="s" s="57">
        <v>17</v>
      </c>
      <c r="E41" s="58">
        <v>4</v>
      </c>
      <c r="F41" s="59">
        <v>55626</v>
      </c>
      <c r="G41" s="59" cm="1">
        <f t="array" ref="G41">E41*F41</f>
        <v>222504</v>
      </c>
      <c r="H41" s="58" cm="1">
        <f t="array" ref="H41">YEAR(A41)</f>
        <v>2024</v>
      </c>
      <c r="I41" t="str" s="60" cm="1">
        <f t="array" ref="I41">"Q"&amp;ROUNDUP(MONTH(A41)/3,0)</f>
        <v>Q1</v>
      </c>
      <c r="J41" t="s" s="57">
        <v>26</v>
      </c>
    </row>
    <row r="42" ht="13.55" customHeight="1">
      <c r="A42" s="51">
        <v>45330</v>
      </c>
      <c r="B42" t="s" s="52">
        <v>20</v>
      </c>
      <c r="C42" t="s" s="52">
        <v>78</v>
      </c>
      <c r="D42" t="s" s="52">
        <v>17</v>
      </c>
      <c r="E42" s="53">
        <v>7</v>
      </c>
      <c r="F42" s="54">
        <v>15956</v>
      </c>
      <c r="G42" s="54" cm="1">
        <f t="array" ref="G42">E42*F42</f>
        <v>111692</v>
      </c>
      <c r="H42" s="53" cm="1">
        <f t="array" ref="H42">YEAR(A42)</f>
        <v>2024</v>
      </c>
      <c r="I42" t="str" s="55" cm="1">
        <f t="array" ref="I42">"Q"&amp;ROUNDUP(MONTH(A42)/3,0)</f>
        <v>Q1</v>
      </c>
      <c r="J42" t="s" s="52">
        <v>26</v>
      </c>
    </row>
    <row r="43" ht="13.55" customHeight="1">
      <c r="A43" s="56">
        <v>45330</v>
      </c>
      <c r="B43" t="s" s="57">
        <v>20</v>
      </c>
      <c r="C43" t="s" s="57">
        <v>84</v>
      </c>
      <c r="D43" t="s" s="57">
        <v>15</v>
      </c>
      <c r="E43" s="58">
        <v>6</v>
      </c>
      <c r="F43" s="59">
        <v>24404</v>
      </c>
      <c r="G43" s="59" cm="1">
        <f t="array" ref="G43">E43*F43</f>
        <v>146424</v>
      </c>
      <c r="H43" s="58" cm="1">
        <f t="array" ref="H43">YEAR(A43)</f>
        <v>2024</v>
      </c>
      <c r="I43" t="str" s="60" cm="1">
        <f t="array" ref="I43">"Q"&amp;ROUNDUP(MONTH(A43)/3,0)</f>
        <v>Q1</v>
      </c>
      <c r="J43" t="s" s="57">
        <v>26</v>
      </c>
    </row>
    <row r="44" ht="13.55" customHeight="1">
      <c r="A44" s="51">
        <v>45330</v>
      </c>
      <c r="B44" t="s" s="52">
        <v>21</v>
      </c>
      <c r="C44" t="s" s="52">
        <v>82</v>
      </c>
      <c r="D44" t="s" s="52">
        <v>16</v>
      </c>
      <c r="E44" s="53">
        <v>1</v>
      </c>
      <c r="F44" s="54">
        <v>20641</v>
      </c>
      <c r="G44" s="54" cm="1">
        <f t="array" ref="G44">E44*F44</f>
        <v>20641</v>
      </c>
      <c r="H44" s="53" cm="1">
        <f t="array" ref="H44">YEAR(A44)</f>
        <v>2024</v>
      </c>
      <c r="I44" t="str" s="55" cm="1">
        <f t="array" ref="I44">"Q"&amp;ROUNDUP(MONTH(A44)/3,0)</f>
        <v>Q1</v>
      </c>
      <c r="J44" t="s" s="52">
        <v>26</v>
      </c>
    </row>
    <row r="45" ht="13.55" customHeight="1">
      <c r="A45" s="56">
        <v>45332</v>
      </c>
      <c r="B45" t="s" s="57">
        <v>20</v>
      </c>
      <c r="C45" t="s" s="57">
        <v>83</v>
      </c>
      <c r="D45" t="s" s="57">
        <v>15</v>
      </c>
      <c r="E45" s="58">
        <v>17</v>
      </c>
      <c r="F45" s="59">
        <v>18598</v>
      </c>
      <c r="G45" s="59" cm="1">
        <f t="array" ref="G45">E45*F45</f>
        <v>316166</v>
      </c>
      <c r="H45" s="58" cm="1">
        <f t="array" ref="H45">YEAR(A45)</f>
        <v>2024</v>
      </c>
      <c r="I45" t="str" s="60" cm="1">
        <f t="array" ref="I45">"Q"&amp;ROUNDUP(MONTH(A45)/3,0)</f>
        <v>Q1</v>
      </c>
      <c r="J45" t="s" s="57">
        <v>26</v>
      </c>
    </row>
    <row r="46" ht="13.55" customHeight="1">
      <c r="A46" s="51">
        <v>45332</v>
      </c>
      <c r="B46" t="s" s="52">
        <v>21</v>
      </c>
      <c r="C46" t="s" s="52">
        <v>82</v>
      </c>
      <c r="D46" t="s" s="52">
        <v>17</v>
      </c>
      <c r="E46" s="53">
        <v>10</v>
      </c>
      <c r="F46" s="54">
        <v>12352</v>
      </c>
      <c r="G46" s="54" cm="1">
        <f t="array" ref="G46">E46*F46</f>
        <v>123520</v>
      </c>
      <c r="H46" s="53" cm="1">
        <f t="array" ref="H46">YEAR(A46)</f>
        <v>2024</v>
      </c>
      <c r="I46" t="str" s="55" cm="1">
        <f t="array" ref="I46">"Q"&amp;ROUNDUP(MONTH(A46)/3,0)</f>
        <v>Q1</v>
      </c>
      <c r="J46" t="s" s="52">
        <v>26</v>
      </c>
    </row>
    <row r="47" ht="13.55" customHeight="1">
      <c r="A47" s="56">
        <v>45332</v>
      </c>
      <c r="B47" t="s" s="57">
        <v>21</v>
      </c>
      <c r="C47" t="s" s="57">
        <v>80</v>
      </c>
      <c r="D47" t="s" s="57">
        <v>15</v>
      </c>
      <c r="E47" s="58">
        <v>6</v>
      </c>
      <c r="F47" s="59">
        <v>15103</v>
      </c>
      <c r="G47" s="59" cm="1">
        <f t="array" ref="G47">E47*F47</f>
        <v>90618</v>
      </c>
      <c r="H47" s="58" cm="1">
        <f t="array" ref="H47">YEAR(A47)</f>
        <v>2024</v>
      </c>
      <c r="I47" t="str" s="60" cm="1">
        <f t="array" ref="I47">"Q"&amp;ROUNDUP(MONTH(A47)/3,0)</f>
        <v>Q1</v>
      </c>
      <c r="J47" t="s" s="57">
        <v>26</v>
      </c>
    </row>
    <row r="48" ht="13.55" customHeight="1">
      <c r="A48" s="51">
        <v>45333</v>
      </c>
      <c r="B48" t="s" s="52">
        <v>23</v>
      </c>
      <c r="C48" t="s" s="52">
        <v>82</v>
      </c>
      <c r="D48" t="s" s="52">
        <v>15</v>
      </c>
      <c r="E48" s="53">
        <v>13</v>
      </c>
      <c r="F48" s="54">
        <v>25566</v>
      </c>
      <c r="G48" s="54" cm="1">
        <f t="array" ref="G48">E48*F48</f>
        <v>332358</v>
      </c>
      <c r="H48" s="53" cm="1">
        <f t="array" ref="H48">YEAR(A48)</f>
        <v>2024</v>
      </c>
      <c r="I48" t="str" s="55" cm="1">
        <f t="array" ref="I48">"Q"&amp;ROUNDUP(MONTH(A48)/3,0)</f>
        <v>Q1</v>
      </c>
      <c r="J48" t="s" s="52">
        <v>26</v>
      </c>
    </row>
    <row r="49" ht="13.55" customHeight="1">
      <c r="A49" s="56">
        <v>45334</v>
      </c>
      <c r="B49" t="s" s="57">
        <v>23</v>
      </c>
      <c r="C49" t="s" s="57">
        <v>82</v>
      </c>
      <c r="D49" t="s" s="57">
        <v>15</v>
      </c>
      <c r="E49" s="58">
        <v>5</v>
      </c>
      <c r="F49" s="59">
        <v>71406</v>
      </c>
      <c r="G49" s="59" cm="1">
        <f t="array" ref="G49">E49*F49</f>
        <v>357030</v>
      </c>
      <c r="H49" s="58" cm="1">
        <f t="array" ref="H49">YEAR(A49)</f>
        <v>2024</v>
      </c>
      <c r="I49" t="str" s="60" cm="1">
        <f t="array" ref="I49">"Q"&amp;ROUNDUP(MONTH(A49)/3,0)</f>
        <v>Q1</v>
      </c>
      <c r="J49" t="s" s="57">
        <v>26</v>
      </c>
    </row>
    <row r="50" ht="13.55" customHeight="1">
      <c r="A50" s="51">
        <v>45337</v>
      </c>
      <c r="B50" t="s" s="52">
        <v>23</v>
      </c>
      <c r="C50" t="s" s="52">
        <v>84</v>
      </c>
      <c r="D50" t="s" s="52">
        <v>17</v>
      </c>
      <c r="E50" s="53">
        <v>19</v>
      </c>
      <c r="F50" s="54">
        <v>44850</v>
      </c>
      <c r="G50" s="54" cm="1">
        <f t="array" ref="G50">E50*F50</f>
        <v>852150</v>
      </c>
      <c r="H50" s="53" cm="1">
        <f t="array" ref="H50">YEAR(A50)</f>
        <v>2024</v>
      </c>
      <c r="I50" t="str" s="55" cm="1">
        <f t="array" ref="I50">"Q"&amp;ROUNDUP(MONTH(A50)/3,0)</f>
        <v>Q1</v>
      </c>
      <c r="J50" t="s" s="52">
        <v>26</v>
      </c>
    </row>
    <row r="51" ht="13.55" customHeight="1">
      <c r="A51" s="56">
        <v>45338</v>
      </c>
      <c r="B51" t="s" s="57">
        <v>21</v>
      </c>
      <c r="C51" t="s" s="57">
        <v>81</v>
      </c>
      <c r="D51" t="s" s="57">
        <v>16</v>
      </c>
      <c r="E51" s="58">
        <v>6</v>
      </c>
      <c r="F51" s="59">
        <v>71788</v>
      </c>
      <c r="G51" s="59" cm="1">
        <f t="array" ref="G51">E51*F51</f>
        <v>430728</v>
      </c>
      <c r="H51" s="58" cm="1">
        <f t="array" ref="H51">YEAR(A51)</f>
        <v>2024</v>
      </c>
      <c r="I51" t="str" s="60" cm="1">
        <f t="array" ref="I51">"Q"&amp;ROUNDUP(MONTH(A51)/3,0)</f>
        <v>Q1</v>
      </c>
      <c r="J51" t="s" s="57">
        <v>26</v>
      </c>
    </row>
    <row r="52" ht="13.55" customHeight="1">
      <c r="A52" s="51">
        <v>45338</v>
      </c>
      <c r="B52" t="s" s="52">
        <v>21</v>
      </c>
      <c r="C52" t="s" s="52">
        <v>81</v>
      </c>
      <c r="D52" t="s" s="52">
        <v>16</v>
      </c>
      <c r="E52" s="53">
        <v>5</v>
      </c>
      <c r="F52" s="54">
        <v>65931</v>
      </c>
      <c r="G52" s="54" cm="1">
        <f t="array" ref="G52">E52*F52</f>
        <v>329655</v>
      </c>
      <c r="H52" s="53" cm="1">
        <f t="array" ref="H52">YEAR(A52)</f>
        <v>2024</v>
      </c>
      <c r="I52" t="str" s="55" cm="1">
        <f t="array" ref="I52">"Q"&amp;ROUNDUP(MONTH(A52)/3,0)</f>
        <v>Q1</v>
      </c>
      <c r="J52" t="s" s="52">
        <v>26</v>
      </c>
    </row>
    <row r="53" ht="13.55" customHeight="1">
      <c r="A53" s="56">
        <v>45338</v>
      </c>
      <c r="B53" t="s" s="57">
        <v>21</v>
      </c>
      <c r="C53" t="s" s="57">
        <v>80</v>
      </c>
      <c r="D53" t="s" s="57">
        <v>15</v>
      </c>
      <c r="E53" s="58">
        <v>1</v>
      </c>
      <c r="F53" s="59">
        <v>63829</v>
      </c>
      <c r="G53" s="59" cm="1">
        <f t="array" ref="G53">E53*F53</f>
        <v>63829</v>
      </c>
      <c r="H53" s="58" cm="1">
        <f t="array" ref="H53">YEAR(A53)</f>
        <v>2024</v>
      </c>
      <c r="I53" t="str" s="60" cm="1">
        <f t="array" ref="I53">"Q"&amp;ROUNDUP(MONTH(A53)/3,0)</f>
        <v>Q1</v>
      </c>
      <c r="J53" t="s" s="57">
        <v>26</v>
      </c>
    </row>
    <row r="54" ht="13.55" customHeight="1">
      <c r="A54" s="51">
        <v>45339</v>
      </c>
      <c r="B54" t="s" s="52">
        <v>22</v>
      </c>
      <c r="C54" t="s" s="52">
        <v>80</v>
      </c>
      <c r="D54" t="s" s="52">
        <v>16</v>
      </c>
      <c r="E54" s="53">
        <v>19</v>
      </c>
      <c r="F54" s="54">
        <v>12296</v>
      </c>
      <c r="G54" s="54" cm="1">
        <f t="array" ref="G54">E54*F54</f>
        <v>233624</v>
      </c>
      <c r="H54" s="53" cm="1">
        <f t="array" ref="H54">YEAR(A54)</f>
        <v>2024</v>
      </c>
      <c r="I54" t="str" s="55" cm="1">
        <f t="array" ref="I54">"Q"&amp;ROUNDUP(MONTH(A54)/3,0)</f>
        <v>Q1</v>
      </c>
      <c r="J54" t="s" s="52">
        <v>26</v>
      </c>
    </row>
    <row r="55" ht="13.55" customHeight="1">
      <c r="A55" s="56">
        <v>45340</v>
      </c>
      <c r="B55" t="s" s="57">
        <v>20</v>
      </c>
      <c r="C55" t="s" s="57">
        <v>78</v>
      </c>
      <c r="D55" t="s" s="57">
        <v>16</v>
      </c>
      <c r="E55" s="58">
        <v>8</v>
      </c>
      <c r="F55" s="59">
        <v>51287</v>
      </c>
      <c r="G55" s="59" cm="1">
        <f t="array" ref="G55">E55*F55</f>
        <v>410296</v>
      </c>
      <c r="H55" s="58" cm="1">
        <f t="array" ref="H55">YEAR(A55)</f>
        <v>2024</v>
      </c>
      <c r="I55" t="str" s="60" cm="1">
        <f t="array" ref="I55">"Q"&amp;ROUNDUP(MONTH(A55)/3,0)</f>
        <v>Q1</v>
      </c>
      <c r="J55" t="s" s="57">
        <v>26</v>
      </c>
    </row>
    <row r="56" ht="13.55" customHeight="1">
      <c r="A56" s="51">
        <v>45342</v>
      </c>
      <c r="B56" t="s" s="52">
        <v>23</v>
      </c>
      <c r="C56" t="s" s="52">
        <v>82</v>
      </c>
      <c r="D56" t="s" s="52">
        <v>16</v>
      </c>
      <c r="E56" s="53">
        <v>13</v>
      </c>
      <c r="F56" s="54">
        <v>19715</v>
      </c>
      <c r="G56" s="54" cm="1">
        <f t="array" ref="G56">E56*F56</f>
        <v>256295</v>
      </c>
      <c r="H56" s="53" cm="1">
        <f t="array" ref="H56">YEAR(A56)</f>
        <v>2024</v>
      </c>
      <c r="I56" t="str" s="55" cm="1">
        <f t="array" ref="I56">"Q"&amp;ROUNDUP(MONTH(A56)/3,0)</f>
        <v>Q1</v>
      </c>
      <c r="J56" t="s" s="52">
        <v>26</v>
      </c>
    </row>
    <row r="57" ht="13.55" customHeight="1">
      <c r="A57" s="56">
        <v>45344</v>
      </c>
      <c r="B57" t="s" s="57">
        <v>20</v>
      </c>
      <c r="C57" t="s" s="57">
        <v>80</v>
      </c>
      <c r="D57" t="s" s="57">
        <v>17</v>
      </c>
      <c r="E57" s="58">
        <v>15</v>
      </c>
      <c r="F57" s="59">
        <v>66799</v>
      </c>
      <c r="G57" s="59" cm="1">
        <f t="array" ref="G57">E57*F57</f>
        <v>1001985</v>
      </c>
      <c r="H57" s="58" cm="1">
        <f t="array" ref="H57">YEAR(A57)</f>
        <v>2024</v>
      </c>
      <c r="I57" t="str" s="60" cm="1">
        <f t="array" ref="I57">"Q"&amp;ROUNDUP(MONTH(A57)/3,0)</f>
        <v>Q1</v>
      </c>
      <c r="J57" t="s" s="57">
        <v>26</v>
      </c>
    </row>
    <row r="58" ht="13.55" customHeight="1">
      <c r="A58" s="51">
        <v>45344</v>
      </c>
      <c r="B58" t="s" s="52">
        <v>20</v>
      </c>
      <c r="C58" t="s" s="52">
        <v>78</v>
      </c>
      <c r="D58" t="s" s="52">
        <v>16</v>
      </c>
      <c r="E58" s="53">
        <v>14</v>
      </c>
      <c r="F58" s="54">
        <v>42405</v>
      </c>
      <c r="G58" s="54" cm="1">
        <f t="array" ref="G58">E58*F58</f>
        <v>593670</v>
      </c>
      <c r="H58" s="53" cm="1">
        <f t="array" ref="H58">YEAR(A58)</f>
        <v>2024</v>
      </c>
      <c r="I58" t="str" s="55" cm="1">
        <f t="array" ref="I58">"Q"&amp;ROUNDUP(MONTH(A58)/3,0)</f>
        <v>Q1</v>
      </c>
      <c r="J58" t="s" s="52">
        <v>26</v>
      </c>
    </row>
    <row r="59" ht="13.55" customHeight="1">
      <c r="A59" s="56">
        <v>45344</v>
      </c>
      <c r="B59" t="s" s="57">
        <v>22</v>
      </c>
      <c r="C59" t="s" s="57">
        <v>81</v>
      </c>
      <c r="D59" t="s" s="57">
        <v>16</v>
      </c>
      <c r="E59" s="58">
        <v>9</v>
      </c>
      <c r="F59" s="59">
        <v>65030</v>
      </c>
      <c r="G59" s="59" cm="1">
        <f t="array" ref="G59">E59*F59</f>
        <v>585270</v>
      </c>
      <c r="H59" s="58" cm="1">
        <f t="array" ref="H59">YEAR(A59)</f>
        <v>2024</v>
      </c>
      <c r="I59" t="str" s="60" cm="1">
        <f t="array" ref="I59">"Q"&amp;ROUNDUP(MONTH(A59)/3,0)</f>
        <v>Q1</v>
      </c>
      <c r="J59" t="s" s="57">
        <v>26</v>
      </c>
    </row>
    <row r="60" ht="13.55" customHeight="1">
      <c r="A60" s="51">
        <v>45345</v>
      </c>
      <c r="B60" t="s" s="52">
        <v>23</v>
      </c>
      <c r="C60" t="s" s="52">
        <v>83</v>
      </c>
      <c r="D60" t="s" s="52">
        <v>17</v>
      </c>
      <c r="E60" s="53">
        <v>5</v>
      </c>
      <c r="F60" s="54">
        <v>62124</v>
      </c>
      <c r="G60" s="54" cm="1">
        <f t="array" ref="G60">E60*F60</f>
        <v>310620</v>
      </c>
      <c r="H60" s="53" cm="1">
        <f t="array" ref="H60">YEAR(A60)</f>
        <v>2024</v>
      </c>
      <c r="I60" t="str" s="55" cm="1">
        <f t="array" ref="I60">"Q"&amp;ROUNDUP(MONTH(A60)/3,0)</f>
        <v>Q1</v>
      </c>
      <c r="J60" t="s" s="52">
        <v>26</v>
      </c>
    </row>
    <row r="61" ht="13.55" customHeight="1">
      <c r="A61" s="56">
        <v>45345</v>
      </c>
      <c r="B61" t="s" s="57">
        <v>20</v>
      </c>
      <c r="C61" t="s" s="57">
        <v>82</v>
      </c>
      <c r="D61" t="s" s="57">
        <v>16</v>
      </c>
      <c r="E61" s="58">
        <v>11</v>
      </c>
      <c r="F61" s="59">
        <v>65593</v>
      </c>
      <c r="G61" s="59" cm="1">
        <f t="array" ref="G61">E61*F61</f>
        <v>721523</v>
      </c>
      <c r="H61" s="58" cm="1">
        <f t="array" ref="H61">YEAR(A61)</f>
        <v>2024</v>
      </c>
      <c r="I61" t="str" s="60" cm="1">
        <f t="array" ref="I61">"Q"&amp;ROUNDUP(MONTH(A61)/3,0)</f>
        <v>Q1</v>
      </c>
      <c r="J61" t="s" s="57">
        <v>26</v>
      </c>
    </row>
    <row r="62" ht="13.55" customHeight="1">
      <c r="A62" s="51">
        <v>45349</v>
      </c>
      <c r="B62" t="s" s="52">
        <v>22</v>
      </c>
      <c r="C62" t="s" s="52">
        <v>80</v>
      </c>
      <c r="D62" t="s" s="52">
        <v>15</v>
      </c>
      <c r="E62" s="53">
        <v>7</v>
      </c>
      <c r="F62" s="54">
        <v>39057</v>
      </c>
      <c r="G62" s="54" cm="1">
        <f t="array" ref="G62">E62*F62</f>
        <v>273399</v>
      </c>
      <c r="H62" s="53" cm="1">
        <f t="array" ref="H62">YEAR(A62)</f>
        <v>2024</v>
      </c>
      <c r="I62" t="str" s="55" cm="1">
        <f t="array" ref="I62">"Q"&amp;ROUNDUP(MONTH(A62)/3,0)</f>
        <v>Q1</v>
      </c>
      <c r="J62" t="s" s="52">
        <v>26</v>
      </c>
    </row>
    <row r="63" ht="13.55" customHeight="1">
      <c r="A63" s="56">
        <v>45349</v>
      </c>
      <c r="B63" t="s" s="57">
        <v>21</v>
      </c>
      <c r="C63" t="s" s="57">
        <v>81</v>
      </c>
      <c r="D63" t="s" s="57">
        <v>16</v>
      </c>
      <c r="E63" s="58">
        <v>19</v>
      </c>
      <c r="F63" s="59">
        <v>70006</v>
      </c>
      <c r="G63" s="59" cm="1">
        <f t="array" ref="G63">E63*F63</f>
        <v>1330114</v>
      </c>
      <c r="H63" s="58" cm="1">
        <f t="array" ref="H63">YEAR(A63)</f>
        <v>2024</v>
      </c>
      <c r="I63" t="str" s="60" cm="1">
        <f t="array" ref="I63">"Q"&amp;ROUNDUP(MONTH(A63)/3,0)</f>
        <v>Q1</v>
      </c>
      <c r="J63" t="s" s="57">
        <v>26</v>
      </c>
    </row>
    <row r="64" ht="13.55" customHeight="1">
      <c r="A64" s="51">
        <v>45349</v>
      </c>
      <c r="B64" t="s" s="52">
        <v>22</v>
      </c>
      <c r="C64" t="s" s="52">
        <v>80</v>
      </c>
      <c r="D64" t="s" s="52">
        <v>15</v>
      </c>
      <c r="E64" s="53">
        <v>17</v>
      </c>
      <c r="F64" s="54">
        <v>70333</v>
      </c>
      <c r="G64" s="54" cm="1">
        <f t="array" ref="G64">E64*F64</f>
        <v>1195661</v>
      </c>
      <c r="H64" s="53" cm="1">
        <f t="array" ref="H64">YEAR(A64)</f>
        <v>2024</v>
      </c>
      <c r="I64" t="str" s="55" cm="1">
        <f t="array" ref="I64">"Q"&amp;ROUNDUP(MONTH(A64)/3,0)</f>
        <v>Q1</v>
      </c>
      <c r="J64" t="s" s="52">
        <v>26</v>
      </c>
    </row>
    <row r="65" ht="13.55" customHeight="1">
      <c r="A65" s="56">
        <v>45349</v>
      </c>
      <c r="B65" t="s" s="57">
        <v>21</v>
      </c>
      <c r="C65" t="s" s="57">
        <v>82</v>
      </c>
      <c r="D65" t="s" s="57">
        <v>15</v>
      </c>
      <c r="E65" s="58">
        <v>13</v>
      </c>
      <c r="F65" s="59">
        <v>35134</v>
      </c>
      <c r="G65" s="59" cm="1">
        <f t="array" ref="G65">E65*F65</f>
        <v>456742</v>
      </c>
      <c r="H65" s="58" cm="1">
        <f t="array" ref="H65">YEAR(A65)</f>
        <v>2024</v>
      </c>
      <c r="I65" t="str" s="60" cm="1">
        <f t="array" ref="I65">"Q"&amp;ROUNDUP(MONTH(A65)/3,0)</f>
        <v>Q1</v>
      </c>
      <c r="J65" t="s" s="57">
        <v>26</v>
      </c>
    </row>
    <row r="66" ht="13.55" customHeight="1">
      <c r="A66" s="51">
        <v>45350</v>
      </c>
      <c r="B66" t="s" s="52">
        <v>20</v>
      </c>
      <c r="C66" t="s" s="52">
        <v>80</v>
      </c>
      <c r="D66" t="s" s="52">
        <v>15</v>
      </c>
      <c r="E66" s="53">
        <v>6</v>
      </c>
      <c r="F66" s="54">
        <v>9117</v>
      </c>
      <c r="G66" s="54" cm="1">
        <f t="array" ref="G66">E66*F66</f>
        <v>54702</v>
      </c>
      <c r="H66" s="53" cm="1">
        <f t="array" ref="H66">YEAR(A66)</f>
        <v>2024</v>
      </c>
      <c r="I66" t="str" s="55" cm="1">
        <f t="array" ref="I66">"Q"&amp;ROUNDUP(MONTH(A66)/3,0)</f>
        <v>Q1</v>
      </c>
      <c r="J66" t="s" s="52">
        <v>26</v>
      </c>
    </row>
    <row r="67" ht="13.55" customHeight="1">
      <c r="A67" s="56">
        <v>45353</v>
      </c>
      <c r="B67" t="s" s="57">
        <v>22</v>
      </c>
      <c r="C67" t="s" s="57">
        <v>80</v>
      </c>
      <c r="D67" t="s" s="57">
        <v>17</v>
      </c>
      <c r="E67" s="58">
        <v>17</v>
      </c>
      <c r="F67" s="59">
        <v>61889</v>
      </c>
      <c r="G67" s="59" cm="1">
        <f t="array" ref="G67">E67*F67</f>
        <v>1052113</v>
      </c>
      <c r="H67" s="58" cm="1">
        <f t="array" ref="H67">YEAR(A67)</f>
        <v>2024</v>
      </c>
      <c r="I67" t="str" s="60" cm="1">
        <f t="array" ref="I67">"Q"&amp;ROUNDUP(MONTH(A67)/3,0)</f>
        <v>Q1</v>
      </c>
      <c r="J67" t="s" s="57">
        <v>27</v>
      </c>
    </row>
    <row r="68" ht="13.55" customHeight="1">
      <c r="A68" s="51">
        <v>45354</v>
      </c>
      <c r="B68" t="s" s="52">
        <v>22</v>
      </c>
      <c r="C68" t="s" s="52">
        <v>83</v>
      </c>
      <c r="D68" t="s" s="52">
        <v>15</v>
      </c>
      <c r="E68" s="53">
        <v>13</v>
      </c>
      <c r="F68" s="54">
        <v>9458</v>
      </c>
      <c r="G68" s="54" cm="1">
        <f t="array" ref="G68">E68*F68</f>
        <v>122954</v>
      </c>
      <c r="H68" s="53" cm="1">
        <f t="array" ref="H68">YEAR(A68)</f>
        <v>2024</v>
      </c>
      <c r="I68" t="str" s="55" cm="1">
        <f t="array" ref="I68">"Q"&amp;ROUNDUP(MONTH(A68)/3,0)</f>
        <v>Q1</v>
      </c>
      <c r="J68" t="s" s="52">
        <v>27</v>
      </c>
    </row>
    <row r="69" ht="13.55" customHeight="1">
      <c r="A69" s="56">
        <v>45356</v>
      </c>
      <c r="B69" t="s" s="57">
        <v>23</v>
      </c>
      <c r="C69" t="s" s="57">
        <v>84</v>
      </c>
      <c r="D69" t="s" s="57">
        <v>18</v>
      </c>
      <c r="E69" s="58">
        <v>1</v>
      </c>
      <c r="F69" s="59">
        <v>34061</v>
      </c>
      <c r="G69" s="59" cm="1">
        <f t="array" ref="G69">E69*F69</f>
        <v>34061</v>
      </c>
      <c r="H69" s="58" cm="1">
        <f t="array" ref="H69">YEAR(A69)</f>
        <v>2024</v>
      </c>
      <c r="I69" t="str" s="60" cm="1">
        <f t="array" ref="I69">"Q"&amp;ROUNDUP(MONTH(A69)/3,0)</f>
        <v>Q1</v>
      </c>
      <c r="J69" t="s" s="57">
        <v>27</v>
      </c>
    </row>
    <row r="70" ht="13.55" customHeight="1">
      <c r="A70" s="51">
        <v>45360</v>
      </c>
      <c r="B70" t="s" s="52">
        <v>23</v>
      </c>
      <c r="C70" t="s" s="52">
        <v>83</v>
      </c>
      <c r="D70" t="s" s="52">
        <v>18</v>
      </c>
      <c r="E70" s="53">
        <v>17</v>
      </c>
      <c r="F70" s="54">
        <v>55248</v>
      </c>
      <c r="G70" s="54" cm="1">
        <f t="array" ref="G70">E70*F70</f>
        <v>939216</v>
      </c>
      <c r="H70" s="53" cm="1">
        <f t="array" ref="H70">YEAR(A70)</f>
        <v>2024</v>
      </c>
      <c r="I70" t="str" s="55" cm="1">
        <f t="array" ref="I70">"Q"&amp;ROUNDUP(MONTH(A70)/3,0)</f>
        <v>Q1</v>
      </c>
      <c r="J70" t="s" s="52">
        <v>27</v>
      </c>
    </row>
    <row r="71" ht="13.55" customHeight="1">
      <c r="A71" s="56">
        <v>45360</v>
      </c>
      <c r="B71" t="s" s="57">
        <v>22</v>
      </c>
      <c r="C71" t="s" s="57">
        <v>80</v>
      </c>
      <c r="D71" t="s" s="57">
        <v>18</v>
      </c>
      <c r="E71" s="58">
        <v>5</v>
      </c>
      <c r="F71" s="59">
        <v>72568</v>
      </c>
      <c r="G71" s="59" cm="1">
        <f t="array" ref="G71">E71*F71</f>
        <v>362840</v>
      </c>
      <c r="H71" s="58" cm="1">
        <f t="array" ref="H71">YEAR(A71)</f>
        <v>2024</v>
      </c>
      <c r="I71" t="str" s="60" cm="1">
        <f t="array" ref="I71">"Q"&amp;ROUNDUP(MONTH(A71)/3,0)</f>
        <v>Q1</v>
      </c>
      <c r="J71" t="s" s="57">
        <v>27</v>
      </c>
    </row>
    <row r="72" ht="13.55" customHeight="1">
      <c r="A72" s="51">
        <v>45361</v>
      </c>
      <c r="B72" t="s" s="52">
        <v>22</v>
      </c>
      <c r="C72" t="s" s="52">
        <v>80</v>
      </c>
      <c r="D72" t="s" s="52">
        <v>16</v>
      </c>
      <c r="E72" s="53">
        <v>4</v>
      </c>
      <c r="F72" s="54">
        <v>39028</v>
      </c>
      <c r="G72" s="54" cm="1">
        <f t="array" ref="G72">E72*F72</f>
        <v>156112</v>
      </c>
      <c r="H72" s="53" cm="1">
        <f t="array" ref="H72">YEAR(A72)</f>
        <v>2024</v>
      </c>
      <c r="I72" t="str" s="55" cm="1">
        <f t="array" ref="I72">"Q"&amp;ROUNDUP(MONTH(A72)/3,0)</f>
        <v>Q1</v>
      </c>
      <c r="J72" t="s" s="52">
        <v>27</v>
      </c>
    </row>
    <row r="73" ht="13.55" customHeight="1">
      <c r="A73" s="56">
        <v>45363</v>
      </c>
      <c r="B73" t="s" s="57">
        <v>21</v>
      </c>
      <c r="C73" t="s" s="57">
        <v>83</v>
      </c>
      <c r="D73" t="s" s="57">
        <v>15</v>
      </c>
      <c r="E73" s="58">
        <v>9</v>
      </c>
      <c r="F73" s="59">
        <v>21523</v>
      </c>
      <c r="G73" s="59" cm="1">
        <f t="array" ref="G73">E73*F73</f>
        <v>193707</v>
      </c>
      <c r="H73" s="58" cm="1">
        <f t="array" ref="H73">YEAR(A73)</f>
        <v>2024</v>
      </c>
      <c r="I73" t="str" s="60" cm="1">
        <f t="array" ref="I73">"Q"&amp;ROUNDUP(MONTH(A73)/3,0)</f>
        <v>Q1</v>
      </c>
      <c r="J73" t="s" s="57">
        <v>27</v>
      </c>
    </row>
    <row r="74" ht="13.55" customHeight="1">
      <c r="A74" s="51">
        <v>45365</v>
      </c>
      <c r="B74" t="s" s="52">
        <v>21</v>
      </c>
      <c r="C74" t="s" s="52">
        <v>84</v>
      </c>
      <c r="D74" t="s" s="52">
        <v>16</v>
      </c>
      <c r="E74" s="53">
        <v>12</v>
      </c>
      <c r="F74" s="54">
        <v>45953</v>
      </c>
      <c r="G74" s="54" cm="1">
        <f t="array" ref="G74">E74*F74</f>
        <v>551436</v>
      </c>
      <c r="H74" s="53" cm="1">
        <f t="array" ref="H74">YEAR(A74)</f>
        <v>2024</v>
      </c>
      <c r="I74" t="str" s="55" cm="1">
        <f t="array" ref="I74">"Q"&amp;ROUNDUP(MONTH(A74)/3,0)</f>
        <v>Q1</v>
      </c>
      <c r="J74" t="s" s="52">
        <v>27</v>
      </c>
    </row>
    <row r="75" ht="13.55" customHeight="1">
      <c r="A75" s="56">
        <v>45366</v>
      </c>
      <c r="B75" t="s" s="57">
        <v>20</v>
      </c>
      <c r="C75" t="s" s="57">
        <v>83</v>
      </c>
      <c r="D75" t="s" s="57">
        <v>18</v>
      </c>
      <c r="E75" s="58">
        <v>18</v>
      </c>
      <c r="F75" s="59">
        <v>62415</v>
      </c>
      <c r="G75" s="59" cm="1">
        <f t="array" ref="G75">E75*F75</f>
        <v>1123470</v>
      </c>
      <c r="H75" s="58" cm="1">
        <f t="array" ref="H75">YEAR(A75)</f>
        <v>2024</v>
      </c>
      <c r="I75" t="str" s="60" cm="1">
        <f t="array" ref="I75">"Q"&amp;ROUNDUP(MONTH(A75)/3,0)</f>
        <v>Q1</v>
      </c>
      <c r="J75" t="s" s="57">
        <v>27</v>
      </c>
    </row>
    <row r="76" ht="13.55" customHeight="1">
      <c r="A76" s="51">
        <v>45367</v>
      </c>
      <c r="B76" t="s" s="52">
        <v>22</v>
      </c>
      <c r="C76" t="s" s="52">
        <v>81</v>
      </c>
      <c r="D76" t="s" s="52">
        <v>18</v>
      </c>
      <c r="E76" s="53">
        <v>16</v>
      </c>
      <c r="F76" s="54">
        <v>18255</v>
      </c>
      <c r="G76" s="54" cm="1">
        <f t="array" ref="G76">E76*F76</f>
        <v>292080</v>
      </c>
      <c r="H76" s="53" cm="1">
        <f t="array" ref="H76">YEAR(A76)</f>
        <v>2024</v>
      </c>
      <c r="I76" t="str" s="55" cm="1">
        <f t="array" ref="I76">"Q"&amp;ROUNDUP(MONTH(A76)/3,0)</f>
        <v>Q1</v>
      </c>
      <c r="J76" t="s" s="52">
        <v>27</v>
      </c>
    </row>
    <row r="77" ht="13.55" customHeight="1">
      <c r="A77" s="56">
        <v>45367</v>
      </c>
      <c r="B77" t="s" s="57">
        <v>20</v>
      </c>
      <c r="C77" t="s" s="57">
        <v>78</v>
      </c>
      <c r="D77" t="s" s="57">
        <v>17</v>
      </c>
      <c r="E77" s="58">
        <v>1</v>
      </c>
      <c r="F77" s="59">
        <v>36480</v>
      </c>
      <c r="G77" s="59" cm="1">
        <f t="array" ref="G77">E77*F77</f>
        <v>36480</v>
      </c>
      <c r="H77" s="58" cm="1">
        <f t="array" ref="H77">YEAR(A77)</f>
        <v>2024</v>
      </c>
      <c r="I77" t="str" s="60" cm="1">
        <f t="array" ref="I77">"Q"&amp;ROUNDUP(MONTH(A77)/3,0)</f>
        <v>Q1</v>
      </c>
      <c r="J77" t="s" s="57">
        <v>27</v>
      </c>
    </row>
    <row r="78" ht="13.55" customHeight="1">
      <c r="A78" s="51">
        <v>45371</v>
      </c>
      <c r="B78" t="s" s="52">
        <v>23</v>
      </c>
      <c r="C78" t="s" s="52">
        <v>82</v>
      </c>
      <c r="D78" t="s" s="52">
        <v>18</v>
      </c>
      <c r="E78" s="53">
        <v>6</v>
      </c>
      <c r="F78" s="54">
        <v>77920</v>
      </c>
      <c r="G78" s="54" cm="1">
        <f t="array" ref="G78">E78*F78</f>
        <v>467520</v>
      </c>
      <c r="H78" s="53" cm="1">
        <f t="array" ref="H78">YEAR(A78)</f>
        <v>2024</v>
      </c>
      <c r="I78" t="str" s="55" cm="1">
        <f t="array" ref="I78">"Q"&amp;ROUNDUP(MONTH(A78)/3,0)</f>
        <v>Q1</v>
      </c>
      <c r="J78" t="s" s="52">
        <v>27</v>
      </c>
    </row>
    <row r="79" ht="13.55" customHeight="1">
      <c r="A79" s="56">
        <v>45372</v>
      </c>
      <c r="B79" t="s" s="57">
        <v>22</v>
      </c>
      <c r="C79" t="s" s="57">
        <v>81</v>
      </c>
      <c r="D79" t="s" s="57">
        <v>18</v>
      </c>
      <c r="E79" s="58">
        <v>5</v>
      </c>
      <c r="F79" s="59">
        <v>24874</v>
      </c>
      <c r="G79" s="59" cm="1">
        <f t="array" ref="G79">E79*F79</f>
        <v>124370</v>
      </c>
      <c r="H79" s="58" cm="1">
        <f t="array" ref="H79">YEAR(A79)</f>
        <v>2024</v>
      </c>
      <c r="I79" t="str" s="60" cm="1">
        <f t="array" ref="I79">"Q"&amp;ROUNDUP(MONTH(A79)/3,0)</f>
        <v>Q1</v>
      </c>
      <c r="J79" t="s" s="57">
        <v>27</v>
      </c>
    </row>
    <row r="80" ht="13.55" customHeight="1">
      <c r="A80" s="51">
        <v>45372</v>
      </c>
      <c r="B80" t="s" s="52">
        <v>23</v>
      </c>
      <c r="C80" t="s" s="52">
        <v>78</v>
      </c>
      <c r="D80" t="s" s="52">
        <v>15</v>
      </c>
      <c r="E80" s="53">
        <v>8</v>
      </c>
      <c r="F80" s="54">
        <v>64191</v>
      </c>
      <c r="G80" s="54" cm="1">
        <f t="array" ref="G80">E80*F80</f>
        <v>513528</v>
      </c>
      <c r="H80" s="53" cm="1">
        <f t="array" ref="H80">YEAR(A80)</f>
        <v>2024</v>
      </c>
      <c r="I80" t="str" s="55" cm="1">
        <f t="array" ref="I80">"Q"&amp;ROUNDUP(MONTH(A80)/3,0)</f>
        <v>Q1</v>
      </c>
      <c r="J80" t="s" s="52">
        <v>27</v>
      </c>
    </row>
    <row r="81" ht="13.55" customHeight="1">
      <c r="A81" s="56">
        <v>45377</v>
      </c>
      <c r="B81" t="s" s="57">
        <v>22</v>
      </c>
      <c r="C81" t="s" s="57">
        <v>78</v>
      </c>
      <c r="D81" t="s" s="57">
        <v>16</v>
      </c>
      <c r="E81" s="58">
        <v>11</v>
      </c>
      <c r="F81" s="59">
        <v>10520</v>
      </c>
      <c r="G81" s="59" cm="1">
        <f t="array" ref="G81">E81*F81</f>
        <v>115720</v>
      </c>
      <c r="H81" s="58" cm="1">
        <f t="array" ref="H81">YEAR(A81)</f>
        <v>2024</v>
      </c>
      <c r="I81" t="str" s="60" cm="1">
        <f t="array" ref="I81">"Q"&amp;ROUNDUP(MONTH(A81)/3,0)</f>
        <v>Q1</v>
      </c>
      <c r="J81" t="s" s="57">
        <v>27</v>
      </c>
    </row>
    <row r="82" ht="13.55" customHeight="1">
      <c r="A82" s="51">
        <v>45377</v>
      </c>
      <c r="B82" t="s" s="52">
        <v>23</v>
      </c>
      <c r="C82" t="s" s="52">
        <v>78</v>
      </c>
      <c r="D82" t="s" s="52">
        <v>15</v>
      </c>
      <c r="E82" s="53">
        <v>12</v>
      </c>
      <c r="F82" s="54">
        <v>64174</v>
      </c>
      <c r="G82" s="54" cm="1">
        <f t="array" ref="G82">E82*F82</f>
        <v>770088</v>
      </c>
      <c r="H82" s="53" cm="1">
        <f t="array" ref="H82">YEAR(A82)</f>
        <v>2024</v>
      </c>
      <c r="I82" t="str" s="55" cm="1">
        <f t="array" ref="I82">"Q"&amp;ROUNDUP(MONTH(A82)/3,0)</f>
        <v>Q1</v>
      </c>
      <c r="J82" t="s" s="52">
        <v>27</v>
      </c>
    </row>
    <row r="83" ht="13.55" customHeight="1">
      <c r="A83" s="56">
        <v>45379</v>
      </c>
      <c r="B83" t="s" s="57">
        <v>22</v>
      </c>
      <c r="C83" t="s" s="57">
        <v>82</v>
      </c>
      <c r="D83" t="s" s="57">
        <v>18</v>
      </c>
      <c r="E83" s="58">
        <v>14</v>
      </c>
      <c r="F83" s="59">
        <v>12846</v>
      </c>
      <c r="G83" s="59" cm="1">
        <f t="array" ref="G83">E83*F83</f>
        <v>179844</v>
      </c>
      <c r="H83" s="58" cm="1">
        <f t="array" ref="H83">YEAR(A83)</f>
        <v>2024</v>
      </c>
      <c r="I83" t="str" s="60" cm="1">
        <f t="array" ref="I83">"Q"&amp;ROUNDUP(MONTH(A83)/3,0)</f>
        <v>Q1</v>
      </c>
      <c r="J83" t="s" s="57">
        <v>27</v>
      </c>
    </row>
    <row r="84" ht="13.55" customHeight="1">
      <c r="A84" s="51">
        <v>45381</v>
      </c>
      <c r="B84" t="s" s="52">
        <v>20</v>
      </c>
      <c r="C84" t="s" s="52">
        <v>78</v>
      </c>
      <c r="D84" t="s" s="52">
        <v>16</v>
      </c>
      <c r="E84" s="53">
        <v>14</v>
      </c>
      <c r="F84" s="54">
        <v>52101</v>
      </c>
      <c r="G84" s="54" cm="1">
        <f t="array" ref="G84">E84*F84</f>
        <v>729414</v>
      </c>
      <c r="H84" s="53" cm="1">
        <f t="array" ref="H84">YEAR(A84)</f>
        <v>2024</v>
      </c>
      <c r="I84" t="str" s="55" cm="1">
        <f t="array" ref="I84">"Q"&amp;ROUNDUP(MONTH(A84)/3,0)</f>
        <v>Q1</v>
      </c>
      <c r="J84" t="s" s="52">
        <v>27</v>
      </c>
    </row>
    <row r="85" ht="13.55" customHeight="1">
      <c r="A85" s="56">
        <v>45381</v>
      </c>
      <c r="B85" t="s" s="57">
        <v>20</v>
      </c>
      <c r="C85" t="s" s="57">
        <v>84</v>
      </c>
      <c r="D85" t="s" s="57">
        <v>18</v>
      </c>
      <c r="E85" s="58">
        <v>10</v>
      </c>
      <c r="F85" s="59">
        <v>58664</v>
      </c>
      <c r="G85" s="59" cm="1">
        <f t="array" ref="G85">E85*F85</f>
        <v>586640</v>
      </c>
      <c r="H85" s="58" cm="1">
        <f t="array" ref="H85">YEAR(A85)</f>
        <v>2024</v>
      </c>
      <c r="I85" t="str" s="60" cm="1">
        <f t="array" ref="I85">"Q"&amp;ROUNDUP(MONTH(A85)/3,0)</f>
        <v>Q1</v>
      </c>
      <c r="J85" t="s" s="57">
        <v>27</v>
      </c>
    </row>
    <row r="86" ht="13.55" customHeight="1">
      <c r="A86" s="51">
        <v>45382</v>
      </c>
      <c r="B86" t="s" s="52">
        <v>21</v>
      </c>
      <c r="C86" t="s" s="52">
        <v>84</v>
      </c>
      <c r="D86" t="s" s="52">
        <v>15</v>
      </c>
      <c r="E86" s="53">
        <v>5</v>
      </c>
      <c r="F86" s="54">
        <v>23395</v>
      </c>
      <c r="G86" s="54" cm="1">
        <f t="array" ref="G86">E86*F86</f>
        <v>116975</v>
      </c>
      <c r="H86" s="53" cm="1">
        <f t="array" ref="H86">YEAR(A86)</f>
        <v>2024</v>
      </c>
      <c r="I86" t="str" s="55" cm="1">
        <f t="array" ref="I86">"Q"&amp;ROUNDUP(MONTH(A86)/3,0)</f>
        <v>Q1</v>
      </c>
      <c r="J86" t="s" s="52">
        <v>27</v>
      </c>
    </row>
    <row r="87" ht="13.55" customHeight="1">
      <c r="A87" s="56">
        <v>45383</v>
      </c>
      <c r="B87" t="s" s="57">
        <v>20</v>
      </c>
      <c r="C87" t="s" s="57">
        <v>84</v>
      </c>
      <c r="D87" t="s" s="57">
        <v>17</v>
      </c>
      <c r="E87" s="58">
        <v>16</v>
      </c>
      <c r="F87" s="59">
        <v>65272</v>
      </c>
      <c r="G87" s="59" cm="1">
        <f t="array" ref="G87">E87*F87</f>
        <v>1044352</v>
      </c>
      <c r="H87" s="58" cm="1">
        <f t="array" ref="H87">YEAR(A87)</f>
        <v>2024</v>
      </c>
      <c r="I87" t="str" s="60" cm="1">
        <f t="array" ref="I87">"Q"&amp;ROUNDUP(MONTH(A87)/3,0)</f>
        <v>Q2</v>
      </c>
      <c r="J87" t="s" s="57">
        <v>28</v>
      </c>
    </row>
    <row r="88" ht="13.55" customHeight="1">
      <c r="A88" s="51">
        <v>45383</v>
      </c>
      <c r="B88" t="s" s="52">
        <v>22</v>
      </c>
      <c r="C88" t="s" s="52">
        <v>82</v>
      </c>
      <c r="D88" t="s" s="52">
        <v>17</v>
      </c>
      <c r="E88" s="53">
        <v>19</v>
      </c>
      <c r="F88" s="54">
        <v>61583</v>
      </c>
      <c r="G88" s="54" cm="1">
        <f t="array" ref="G88">E88*F88</f>
        <v>1170077</v>
      </c>
      <c r="H88" s="53" cm="1">
        <f t="array" ref="H88">YEAR(A88)</f>
        <v>2024</v>
      </c>
      <c r="I88" t="str" s="55" cm="1">
        <f t="array" ref="I88">"Q"&amp;ROUNDUP(MONTH(A88)/3,0)</f>
        <v>Q2</v>
      </c>
      <c r="J88" t="s" s="52">
        <v>28</v>
      </c>
    </row>
    <row r="89" ht="13.55" customHeight="1">
      <c r="A89" s="56">
        <v>45385</v>
      </c>
      <c r="B89" t="s" s="57">
        <v>21</v>
      </c>
      <c r="C89" t="s" s="57">
        <v>80</v>
      </c>
      <c r="D89" t="s" s="57">
        <v>16</v>
      </c>
      <c r="E89" s="58">
        <v>7</v>
      </c>
      <c r="F89" s="59">
        <v>76045</v>
      </c>
      <c r="G89" s="59" cm="1">
        <f t="array" ref="G89">E89*F89</f>
        <v>532315</v>
      </c>
      <c r="H89" s="58" cm="1">
        <f t="array" ref="H89">YEAR(A89)</f>
        <v>2024</v>
      </c>
      <c r="I89" t="str" s="60" cm="1">
        <f t="array" ref="I89">"Q"&amp;ROUNDUP(MONTH(A89)/3,0)</f>
        <v>Q2</v>
      </c>
      <c r="J89" t="s" s="57">
        <v>28</v>
      </c>
    </row>
    <row r="90" ht="13.55" customHeight="1">
      <c r="A90" s="51">
        <v>45387</v>
      </c>
      <c r="B90" t="s" s="52">
        <v>20</v>
      </c>
      <c r="C90" t="s" s="52">
        <v>81</v>
      </c>
      <c r="D90" t="s" s="52">
        <v>16</v>
      </c>
      <c r="E90" s="53">
        <v>10</v>
      </c>
      <c r="F90" s="54">
        <v>33018</v>
      </c>
      <c r="G90" s="54" cm="1">
        <f t="array" ref="G90">E90*F90</f>
        <v>330180</v>
      </c>
      <c r="H90" s="53" cm="1">
        <f t="array" ref="H90">YEAR(A90)</f>
        <v>2024</v>
      </c>
      <c r="I90" t="str" s="55" cm="1">
        <f t="array" ref="I90">"Q"&amp;ROUNDUP(MONTH(A90)/3,0)</f>
        <v>Q2</v>
      </c>
      <c r="J90" t="s" s="52">
        <v>28</v>
      </c>
    </row>
    <row r="91" ht="13.55" customHeight="1">
      <c r="A91" s="56">
        <v>45387</v>
      </c>
      <c r="B91" t="s" s="57">
        <v>23</v>
      </c>
      <c r="C91" t="s" s="57">
        <v>82</v>
      </c>
      <c r="D91" t="s" s="57">
        <v>16</v>
      </c>
      <c r="E91" s="58">
        <v>5</v>
      </c>
      <c r="F91" s="59">
        <v>22413</v>
      </c>
      <c r="G91" s="59" cm="1">
        <f t="array" ref="G91">E91*F91</f>
        <v>112065</v>
      </c>
      <c r="H91" s="58" cm="1">
        <f t="array" ref="H91">YEAR(A91)</f>
        <v>2024</v>
      </c>
      <c r="I91" t="str" s="60" cm="1">
        <f t="array" ref="I91">"Q"&amp;ROUNDUP(MONTH(A91)/3,0)</f>
        <v>Q2</v>
      </c>
      <c r="J91" t="s" s="57">
        <v>28</v>
      </c>
    </row>
    <row r="92" ht="13.55" customHeight="1">
      <c r="A92" s="51">
        <v>45387</v>
      </c>
      <c r="B92" t="s" s="52">
        <v>20</v>
      </c>
      <c r="C92" t="s" s="52">
        <v>84</v>
      </c>
      <c r="D92" t="s" s="52">
        <v>15</v>
      </c>
      <c r="E92" s="53">
        <v>19</v>
      </c>
      <c r="F92" s="54">
        <v>18682</v>
      </c>
      <c r="G92" s="54" cm="1">
        <f t="array" ref="G92">E92*F92</f>
        <v>354958</v>
      </c>
      <c r="H92" s="53" cm="1">
        <f t="array" ref="H92">YEAR(A92)</f>
        <v>2024</v>
      </c>
      <c r="I92" t="str" s="55" cm="1">
        <f t="array" ref="I92">"Q"&amp;ROUNDUP(MONTH(A92)/3,0)</f>
        <v>Q2</v>
      </c>
      <c r="J92" t="s" s="52">
        <v>28</v>
      </c>
    </row>
    <row r="93" ht="13.55" customHeight="1">
      <c r="A93" s="56">
        <v>45390</v>
      </c>
      <c r="B93" t="s" s="57">
        <v>22</v>
      </c>
      <c r="C93" t="s" s="57">
        <v>82</v>
      </c>
      <c r="D93" t="s" s="57">
        <v>17</v>
      </c>
      <c r="E93" s="58">
        <v>18</v>
      </c>
      <c r="F93" s="59">
        <v>30068</v>
      </c>
      <c r="G93" s="59" cm="1">
        <f t="array" ref="G93">E93*F93</f>
        <v>541224</v>
      </c>
      <c r="H93" s="58" cm="1">
        <f t="array" ref="H93">YEAR(A93)</f>
        <v>2024</v>
      </c>
      <c r="I93" t="str" s="60" cm="1">
        <f t="array" ref="I93">"Q"&amp;ROUNDUP(MONTH(A93)/3,0)</f>
        <v>Q2</v>
      </c>
      <c r="J93" t="s" s="57">
        <v>28</v>
      </c>
    </row>
    <row r="94" ht="13.55" customHeight="1">
      <c r="A94" s="51">
        <v>45390</v>
      </c>
      <c r="B94" t="s" s="52">
        <v>22</v>
      </c>
      <c r="C94" t="s" s="52">
        <v>80</v>
      </c>
      <c r="D94" t="s" s="52">
        <v>17</v>
      </c>
      <c r="E94" s="53">
        <v>2</v>
      </c>
      <c r="F94" s="54">
        <v>38418</v>
      </c>
      <c r="G94" s="54" cm="1">
        <f t="array" ref="G94">E94*F94</f>
        <v>76836</v>
      </c>
      <c r="H94" s="53" cm="1">
        <f t="array" ref="H94">YEAR(A94)</f>
        <v>2024</v>
      </c>
      <c r="I94" t="str" s="55" cm="1">
        <f t="array" ref="I94">"Q"&amp;ROUNDUP(MONTH(A94)/3,0)</f>
        <v>Q2</v>
      </c>
      <c r="J94" t="s" s="52">
        <v>28</v>
      </c>
    </row>
    <row r="95" ht="13.55" customHeight="1">
      <c r="A95" s="56">
        <v>45390</v>
      </c>
      <c r="B95" t="s" s="57">
        <v>23</v>
      </c>
      <c r="C95" t="s" s="57">
        <v>80</v>
      </c>
      <c r="D95" t="s" s="57">
        <v>16</v>
      </c>
      <c r="E95" s="58">
        <v>19</v>
      </c>
      <c r="F95" s="59">
        <v>72165</v>
      </c>
      <c r="G95" s="59" cm="1">
        <f t="array" ref="G95">E95*F95</f>
        <v>1371135</v>
      </c>
      <c r="H95" s="58" cm="1">
        <f t="array" ref="H95">YEAR(A95)</f>
        <v>2024</v>
      </c>
      <c r="I95" t="str" s="60" cm="1">
        <f t="array" ref="I95">"Q"&amp;ROUNDUP(MONTH(A95)/3,0)</f>
        <v>Q2</v>
      </c>
      <c r="J95" t="s" s="57">
        <v>28</v>
      </c>
    </row>
    <row r="96" ht="13.55" customHeight="1">
      <c r="A96" s="51">
        <v>45390</v>
      </c>
      <c r="B96" t="s" s="52">
        <v>21</v>
      </c>
      <c r="C96" t="s" s="52">
        <v>83</v>
      </c>
      <c r="D96" t="s" s="52">
        <v>15</v>
      </c>
      <c r="E96" s="53">
        <v>14</v>
      </c>
      <c r="F96" s="54">
        <v>36781</v>
      </c>
      <c r="G96" s="54" cm="1">
        <f t="array" ref="G96">E96*F96</f>
        <v>514934</v>
      </c>
      <c r="H96" s="53" cm="1">
        <f t="array" ref="H96">YEAR(A96)</f>
        <v>2024</v>
      </c>
      <c r="I96" t="str" s="55" cm="1">
        <f t="array" ref="I96">"Q"&amp;ROUNDUP(MONTH(A96)/3,0)</f>
        <v>Q2</v>
      </c>
      <c r="J96" t="s" s="52">
        <v>28</v>
      </c>
    </row>
    <row r="97" ht="13.55" customHeight="1">
      <c r="A97" s="56">
        <v>45390</v>
      </c>
      <c r="B97" t="s" s="57">
        <v>22</v>
      </c>
      <c r="C97" t="s" s="57">
        <v>80</v>
      </c>
      <c r="D97" t="s" s="57">
        <v>15</v>
      </c>
      <c r="E97" s="58">
        <v>15</v>
      </c>
      <c r="F97" s="59">
        <v>72753</v>
      </c>
      <c r="G97" s="59" cm="1">
        <f t="array" ref="G97">E97*F97</f>
        <v>1091295</v>
      </c>
      <c r="H97" s="58" cm="1">
        <f t="array" ref="H97">YEAR(A97)</f>
        <v>2024</v>
      </c>
      <c r="I97" t="str" s="60" cm="1">
        <f t="array" ref="I97">"Q"&amp;ROUNDUP(MONTH(A97)/3,0)</f>
        <v>Q2</v>
      </c>
      <c r="J97" t="s" s="57">
        <v>28</v>
      </c>
    </row>
    <row r="98" ht="13.55" customHeight="1">
      <c r="A98" s="51">
        <v>45390</v>
      </c>
      <c r="B98" t="s" s="52">
        <v>22</v>
      </c>
      <c r="C98" t="s" s="52">
        <v>78</v>
      </c>
      <c r="D98" t="s" s="52">
        <v>16</v>
      </c>
      <c r="E98" s="53">
        <v>3</v>
      </c>
      <c r="F98" s="54">
        <v>49041</v>
      </c>
      <c r="G98" s="54" cm="1">
        <f t="array" ref="G98">E98*F98</f>
        <v>147123</v>
      </c>
      <c r="H98" s="53" cm="1">
        <f t="array" ref="H98">YEAR(A98)</f>
        <v>2024</v>
      </c>
      <c r="I98" t="str" s="55" cm="1">
        <f t="array" ref="I98">"Q"&amp;ROUNDUP(MONTH(A98)/3,0)</f>
        <v>Q2</v>
      </c>
      <c r="J98" t="s" s="52">
        <v>28</v>
      </c>
    </row>
    <row r="99" ht="13.55" customHeight="1">
      <c r="A99" s="56">
        <v>45390</v>
      </c>
      <c r="B99" t="s" s="57">
        <v>22</v>
      </c>
      <c r="C99" t="s" s="57">
        <v>82</v>
      </c>
      <c r="D99" t="s" s="57">
        <v>18</v>
      </c>
      <c r="E99" s="58">
        <v>16</v>
      </c>
      <c r="F99" s="59">
        <v>71458</v>
      </c>
      <c r="G99" s="59" cm="1">
        <f t="array" ref="G99">E99*F99</f>
        <v>1143328</v>
      </c>
      <c r="H99" s="58" cm="1">
        <f t="array" ref="H99">YEAR(A99)</f>
        <v>2024</v>
      </c>
      <c r="I99" t="str" s="60" cm="1">
        <f t="array" ref="I99">"Q"&amp;ROUNDUP(MONTH(A99)/3,0)</f>
        <v>Q2</v>
      </c>
      <c r="J99" t="s" s="57">
        <v>28</v>
      </c>
    </row>
    <row r="100" ht="13.55" customHeight="1">
      <c r="A100" s="51">
        <v>45391</v>
      </c>
      <c r="B100" t="s" s="52">
        <v>20</v>
      </c>
      <c r="C100" t="s" s="52">
        <v>81</v>
      </c>
      <c r="D100" t="s" s="52">
        <v>18</v>
      </c>
      <c r="E100" s="53">
        <v>3</v>
      </c>
      <c r="F100" s="54">
        <v>30805</v>
      </c>
      <c r="G100" s="54" cm="1">
        <f t="array" ref="G100">E100*F100</f>
        <v>92415</v>
      </c>
      <c r="H100" s="53" cm="1">
        <f t="array" ref="H100">YEAR(A100)</f>
        <v>2024</v>
      </c>
      <c r="I100" t="str" s="55" cm="1">
        <f t="array" ref="I100">"Q"&amp;ROUNDUP(MONTH(A100)/3,0)</f>
        <v>Q2</v>
      </c>
      <c r="J100" t="s" s="52">
        <v>28</v>
      </c>
    </row>
    <row r="101" ht="13.55" customHeight="1">
      <c r="A101" s="56">
        <v>45391</v>
      </c>
      <c r="B101" t="s" s="57">
        <v>21</v>
      </c>
      <c r="C101" t="s" s="57">
        <v>84</v>
      </c>
      <c r="D101" t="s" s="57">
        <v>18</v>
      </c>
      <c r="E101" s="58">
        <v>4</v>
      </c>
      <c r="F101" s="59">
        <v>51163</v>
      </c>
      <c r="G101" s="59" cm="1">
        <f t="array" ref="G101">E101*F101</f>
        <v>204652</v>
      </c>
      <c r="H101" s="58" cm="1">
        <f t="array" ref="H101">YEAR(A101)</f>
        <v>2024</v>
      </c>
      <c r="I101" t="str" s="60" cm="1">
        <f t="array" ref="I101">"Q"&amp;ROUNDUP(MONTH(A101)/3,0)</f>
        <v>Q2</v>
      </c>
      <c r="J101" t="s" s="57">
        <v>28</v>
      </c>
    </row>
    <row r="102" ht="13.55" customHeight="1">
      <c r="A102" s="51">
        <v>45394</v>
      </c>
      <c r="B102" t="s" s="52">
        <v>20</v>
      </c>
      <c r="C102" t="s" s="52">
        <v>81</v>
      </c>
      <c r="D102" t="s" s="52">
        <v>16</v>
      </c>
      <c r="E102" s="53">
        <v>3</v>
      </c>
      <c r="F102" s="54">
        <v>47043</v>
      </c>
      <c r="G102" s="54" cm="1">
        <f t="array" ref="G102">E102*F102</f>
        <v>141129</v>
      </c>
      <c r="H102" s="53" cm="1">
        <f t="array" ref="H102">YEAR(A102)</f>
        <v>2024</v>
      </c>
      <c r="I102" t="str" s="55" cm="1">
        <f t="array" ref="I102">"Q"&amp;ROUNDUP(MONTH(A102)/3,0)</f>
        <v>Q2</v>
      </c>
      <c r="J102" t="s" s="52">
        <v>28</v>
      </c>
    </row>
    <row r="103" ht="13.55" customHeight="1">
      <c r="A103" s="56">
        <v>45394</v>
      </c>
      <c r="B103" t="s" s="57">
        <v>20</v>
      </c>
      <c r="C103" t="s" s="57">
        <v>83</v>
      </c>
      <c r="D103" t="s" s="57">
        <v>17</v>
      </c>
      <c r="E103" s="58">
        <v>3</v>
      </c>
      <c r="F103" s="59">
        <v>21199</v>
      </c>
      <c r="G103" s="59" cm="1">
        <f t="array" ref="G103">E103*F103</f>
        <v>63597</v>
      </c>
      <c r="H103" s="58" cm="1">
        <f t="array" ref="H103">YEAR(A103)</f>
        <v>2024</v>
      </c>
      <c r="I103" t="str" s="60" cm="1">
        <f t="array" ref="I103">"Q"&amp;ROUNDUP(MONTH(A103)/3,0)</f>
        <v>Q2</v>
      </c>
      <c r="J103" t="s" s="57">
        <v>28</v>
      </c>
    </row>
    <row r="104" ht="13.55" customHeight="1">
      <c r="A104" s="51">
        <v>45395</v>
      </c>
      <c r="B104" t="s" s="52">
        <v>23</v>
      </c>
      <c r="C104" t="s" s="52">
        <v>78</v>
      </c>
      <c r="D104" t="s" s="52">
        <v>17</v>
      </c>
      <c r="E104" s="53">
        <v>9</v>
      </c>
      <c r="F104" s="54">
        <v>9627</v>
      </c>
      <c r="G104" s="54" cm="1">
        <f t="array" ref="G104">E104*F104</f>
        <v>86643</v>
      </c>
      <c r="H104" s="53" cm="1">
        <f t="array" ref="H104">YEAR(A104)</f>
        <v>2024</v>
      </c>
      <c r="I104" t="str" s="55" cm="1">
        <f t="array" ref="I104">"Q"&amp;ROUNDUP(MONTH(A104)/3,0)</f>
        <v>Q2</v>
      </c>
      <c r="J104" t="s" s="52">
        <v>28</v>
      </c>
    </row>
    <row r="105" ht="13.55" customHeight="1">
      <c r="A105" s="56">
        <v>45395</v>
      </c>
      <c r="B105" t="s" s="57">
        <v>22</v>
      </c>
      <c r="C105" t="s" s="57">
        <v>84</v>
      </c>
      <c r="D105" t="s" s="57">
        <v>17</v>
      </c>
      <c r="E105" s="58">
        <v>19</v>
      </c>
      <c r="F105" s="59">
        <v>17226</v>
      </c>
      <c r="G105" s="59" cm="1">
        <f t="array" ref="G105">E105*F105</f>
        <v>327294</v>
      </c>
      <c r="H105" s="58" cm="1">
        <f t="array" ref="H105">YEAR(A105)</f>
        <v>2024</v>
      </c>
      <c r="I105" t="str" s="60" cm="1">
        <f t="array" ref="I105">"Q"&amp;ROUNDUP(MONTH(A105)/3,0)</f>
        <v>Q2</v>
      </c>
      <c r="J105" t="s" s="57">
        <v>28</v>
      </c>
    </row>
    <row r="106" ht="13.55" customHeight="1">
      <c r="A106" s="51">
        <v>45397</v>
      </c>
      <c r="B106" t="s" s="52">
        <v>22</v>
      </c>
      <c r="C106" t="s" s="52">
        <v>84</v>
      </c>
      <c r="D106" t="s" s="52">
        <v>17</v>
      </c>
      <c r="E106" s="53">
        <v>17</v>
      </c>
      <c r="F106" s="54">
        <v>34943</v>
      </c>
      <c r="G106" s="54" cm="1">
        <f t="array" ref="G106">E106*F106</f>
        <v>594031</v>
      </c>
      <c r="H106" s="53" cm="1">
        <f t="array" ref="H106">YEAR(A106)</f>
        <v>2024</v>
      </c>
      <c r="I106" t="str" s="55" cm="1">
        <f t="array" ref="I106">"Q"&amp;ROUNDUP(MONTH(A106)/3,0)</f>
        <v>Q2</v>
      </c>
      <c r="J106" t="s" s="52">
        <v>28</v>
      </c>
    </row>
    <row r="107" ht="13.55" customHeight="1">
      <c r="A107" s="56">
        <v>45397</v>
      </c>
      <c r="B107" t="s" s="57">
        <v>23</v>
      </c>
      <c r="C107" t="s" s="57">
        <v>80</v>
      </c>
      <c r="D107" t="s" s="57">
        <v>17</v>
      </c>
      <c r="E107" s="58">
        <v>1</v>
      </c>
      <c r="F107" s="59">
        <v>49673</v>
      </c>
      <c r="G107" s="59" cm="1">
        <f t="array" ref="G107">E107*F107</f>
        <v>49673</v>
      </c>
      <c r="H107" s="58" cm="1">
        <f t="array" ref="H107">YEAR(A107)</f>
        <v>2024</v>
      </c>
      <c r="I107" t="str" s="60" cm="1">
        <f t="array" ref="I107">"Q"&amp;ROUNDUP(MONTH(A107)/3,0)</f>
        <v>Q2</v>
      </c>
      <c r="J107" t="s" s="57">
        <v>28</v>
      </c>
    </row>
    <row r="108" ht="13.55" customHeight="1">
      <c r="A108" s="51">
        <v>45398</v>
      </c>
      <c r="B108" t="s" s="52">
        <v>20</v>
      </c>
      <c r="C108" t="s" s="52">
        <v>82</v>
      </c>
      <c r="D108" t="s" s="52">
        <v>15</v>
      </c>
      <c r="E108" s="53">
        <v>6</v>
      </c>
      <c r="F108" s="54">
        <v>64722</v>
      </c>
      <c r="G108" s="54" cm="1">
        <f t="array" ref="G108">E108*F108</f>
        <v>388332</v>
      </c>
      <c r="H108" s="53" cm="1">
        <f t="array" ref="H108">YEAR(A108)</f>
        <v>2024</v>
      </c>
      <c r="I108" t="str" s="55" cm="1">
        <f t="array" ref="I108">"Q"&amp;ROUNDUP(MONTH(A108)/3,0)</f>
        <v>Q2</v>
      </c>
      <c r="J108" t="s" s="52">
        <v>28</v>
      </c>
    </row>
    <row r="109" ht="13.55" customHeight="1">
      <c r="A109" s="56">
        <v>45400</v>
      </c>
      <c r="B109" t="s" s="57">
        <v>22</v>
      </c>
      <c r="C109" t="s" s="57">
        <v>82</v>
      </c>
      <c r="D109" t="s" s="57">
        <v>15</v>
      </c>
      <c r="E109" s="58">
        <v>18</v>
      </c>
      <c r="F109" s="59">
        <v>11305</v>
      </c>
      <c r="G109" s="59" cm="1">
        <f t="array" ref="G109">E109*F109</f>
        <v>203490</v>
      </c>
      <c r="H109" s="58" cm="1">
        <f t="array" ref="H109">YEAR(A109)</f>
        <v>2024</v>
      </c>
      <c r="I109" t="str" s="60" cm="1">
        <f t="array" ref="I109">"Q"&amp;ROUNDUP(MONTH(A109)/3,0)</f>
        <v>Q2</v>
      </c>
      <c r="J109" t="s" s="57">
        <v>28</v>
      </c>
    </row>
    <row r="110" ht="13.55" customHeight="1">
      <c r="A110" s="51">
        <v>45403</v>
      </c>
      <c r="B110" t="s" s="52">
        <v>22</v>
      </c>
      <c r="C110" t="s" s="52">
        <v>81</v>
      </c>
      <c r="D110" t="s" s="52">
        <v>17</v>
      </c>
      <c r="E110" s="53">
        <v>7</v>
      </c>
      <c r="F110" s="54">
        <v>42019</v>
      </c>
      <c r="G110" s="54" cm="1">
        <f t="array" ref="G110">E110*F110</f>
        <v>294133</v>
      </c>
      <c r="H110" s="53" cm="1">
        <f t="array" ref="H110">YEAR(A110)</f>
        <v>2024</v>
      </c>
      <c r="I110" t="str" s="55" cm="1">
        <f t="array" ref="I110">"Q"&amp;ROUNDUP(MONTH(A110)/3,0)</f>
        <v>Q2</v>
      </c>
      <c r="J110" t="s" s="52">
        <v>28</v>
      </c>
    </row>
    <row r="111" ht="13.55" customHeight="1">
      <c r="A111" s="56">
        <v>45404</v>
      </c>
      <c r="B111" t="s" s="57">
        <v>21</v>
      </c>
      <c r="C111" t="s" s="57">
        <v>83</v>
      </c>
      <c r="D111" t="s" s="57">
        <v>15</v>
      </c>
      <c r="E111" s="58">
        <v>1</v>
      </c>
      <c r="F111" s="59">
        <v>17816</v>
      </c>
      <c r="G111" s="59" cm="1">
        <f t="array" ref="G111">E111*F111</f>
        <v>17816</v>
      </c>
      <c r="H111" s="58" cm="1">
        <f t="array" ref="H111">YEAR(A111)</f>
        <v>2024</v>
      </c>
      <c r="I111" t="str" s="60" cm="1">
        <f t="array" ref="I111">"Q"&amp;ROUNDUP(MONTH(A111)/3,0)</f>
        <v>Q2</v>
      </c>
      <c r="J111" t="s" s="57">
        <v>28</v>
      </c>
    </row>
    <row r="112" ht="13.55" customHeight="1">
      <c r="A112" s="51">
        <v>45404</v>
      </c>
      <c r="B112" t="s" s="52">
        <v>22</v>
      </c>
      <c r="C112" t="s" s="52">
        <v>78</v>
      </c>
      <c r="D112" t="s" s="52">
        <v>18</v>
      </c>
      <c r="E112" s="53">
        <v>17</v>
      </c>
      <c r="F112" s="54">
        <v>35075</v>
      </c>
      <c r="G112" s="54" cm="1">
        <f t="array" ref="G112">E112*F112</f>
        <v>596275</v>
      </c>
      <c r="H112" s="53" cm="1">
        <f t="array" ref="H112">YEAR(A112)</f>
        <v>2024</v>
      </c>
      <c r="I112" t="str" s="55" cm="1">
        <f t="array" ref="I112">"Q"&amp;ROUNDUP(MONTH(A112)/3,0)</f>
        <v>Q2</v>
      </c>
      <c r="J112" t="s" s="52">
        <v>28</v>
      </c>
    </row>
    <row r="113" ht="13.55" customHeight="1">
      <c r="A113" s="56">
        <v>45404</v>
      </c>
      <c r="B113" t="s" s="57">
        <v>21</v>
      </c>
      <c r="C113" t="s" s="57">
        <v>78</v>
      </c>
      <c r="D113" t="s" s="57">
        <v>16</v>
      </c>
      <c r="E113" s="58">
        <v>16</v>
      </c>
      <c r="F113" s="59">
        <v>19671</v>
      </c>
      <c r="G113" s="59" cm="1">
        <f t="array" ref="G113">E113*F113</f>
        <v>314736</v>
      </c>
      <c r="H113" s="58" cm="1">
        <f t="array" ref="H113">YEAR(A113)</f>
        <v>2024</v>
      </c>
      <c r="I113" t="str" s="60" cm="1">
        <f t="array" ref="I113">"Q"&amp;ROUNDUP(MONTH(A113)/3,0)</f>
        <v>Q2</v>
      </c>
      <c r="J113" t="s" s="57">
        <v>28</v>
      </c>
    </row>
    <row r="114" ht="13.55" customHeight="1">
      <c r="A114" s="51">
        <v>45406</v>
      </c>
      <c r="B114" t="s" s="52">
        <v>22</v>
      </c>
      <c r="C114" t="s" s="52">
        <v>82</v>
      </c>
      <c r="D114" t="s" s="52">
        <v>17</v>
      </c>
      <c r="E114" s="53">
        <v>13</v>
      </c>
      <c r="F114" s="54">
        <v>40554</v>
      </c>
      <c r="G114" s="54" cm="1">
        <f t="array" ref="G114">E114*F114</f>
        <v>527202</v>
      </c>
      <c r="H114" s="53" cm="1">
        <f t="array" ref="H114">YEAR(A114)</f>
        <v>2024</v>
      </c>
      <c r="I114" t="str" s="55" cm="1">
        <f t="array" ref="I114">"Q"&amp;ROUNDUP(MONTH(A114)/3,0)</f>
        <v>Q2</v>
      </c>
      <c r="J114" t="s" s="52">
        <v>28</v>
      </c>
    </row>
    <row r="115" ht="13.55" customHeight="1">
      <c r="A115" s="56">
        <v>45407</v>
      </c>
      <c r="B115" t="s" s="57">
        <v>20</v>
      </c>
      <c r="C115" t="s" s="57">
        <v>84</v>
      </c>
      <c r="D115" t="s" s="57">
        <v>17</v>
      </c>
      <c r="E115" s="58">
        <v>3</v>
      </c>
      <c r="F115" s="59">
        <v>19026</v>
      </c>
      <c r="G115" s="59" cm="1">
        <f t="array" ref="G115">E115*F115</f>
        <v>57078</v>
      </c>
      <c r="H115" s="58" cm="1">
        <f t="array" ref="H115">YEAR(A115)</f>
        <v>2024</v>
      </c>
      <c r="I115" t="str" s="60" cm="1">
        <f t="array" ref="I115">"Q"&amp;ROUNDUP(MONTH(A115)/3,0)</f>
        <v>Q2</v>
      </c>
      <c r="J115" t="s" s="57">
        <v>28</v>
      </c>
    </row>
    <row r="116" ht="13.55" customHeight="1">
      <c r="A116" s="51">
        <v>45408</v>
      </c>
      <c r="B116" t="s" s="52">
        <v>21</v>
      </c>
      <c r="C116" t="s" s="52">
        <v>82</v>
      </c>
      <c r="D116" t="s" s="52">
        <v>17</v>
      </c>
      <c r="E116" s="53">
        <v>2</v>
      </c>
      <c r="F116" s="54">
        <v>47222</v>
      </c>
      <c r="G116" s="54" cm="1">
        <f t="array" ref="G116">E116*F116</f>
        <v>94444</v>
      </c>
      <c r="H116" s="53" cm="1">
        <f t="array" ref="H116">YEAR(A116)</f>
        <v>2024</v>
      </c>
      <c r="I116" t="str" s="55" cm="1">
        <f t="array" ref="I116">"Q"&amp;ROUNDUP(MONTH(A116)/3,0)</f>
        <v>Q2</v>
      </c>
      <c r="J116" t="s" s="52">
        <v>28</v>
      </c>
    </row>
    <row r="117" ht="13.55" customHeight="1">
      <c r="A117" s="56">
        <v>45408</v>
      </c>
      <c r="B117" t="s" s="57">
        <v>20</v>
      </c>
      <c r="C117" t="s" s="57">
        <v>81</v>
      </c>
      <c r="D117" t="s" s="57">
        <v>18</v>
      </c>
      <c r="E117" s="58">
        <v>12</v>
      </c>
      <c r="F117" s="59">
        <v>28906</v>
      </c>
      <c r="G117" s="59" cm="1">
        <f t="array" ref="G117">E117*F117</f>
        <v>346872</v>
      </c>
      <c r="H117" s="58" cm="1">
        <f t="array" ref="H117">YEAR(A117)</f>
        <v>2024</v>
      </c>
      <c r="I117" t="str" s="60" cm="1">
        <f t="array" ref="I117">"Q"&amp;ROUNDUP(MONTH(A117)/3,0)</f>
        <v>Q2</v>
      </c>
      <c r="J117" t="s" s="57">
        <v>28</v>
      </c>
    </row>
    <row r="118" ht="13.55" customHeight="1">
      <c r="A118" s="51">
        <v>45409</v>
      </c>
      <c r="B118" t="s" s="52">
        <v>22</v>
      </c>
      <c r="C118" t="s" s="52">
        <v>84</v>
      </c>
      <c r="D118" t="s" s="52">
        <v>16</v>
      </c>
      <c r="E118" s="53">
        <v>13</v>
      </c>
      <c r="F118" s="54">
        <v>50991</v>
      </c>
      <c r="G118" s="54" cm="1">
        <f t="array" ref="G118">E118*F118</f>
        <v>662883</v>
      </c>
      <c r="H118" s="53" cm="1">
        <f t="array" ref="H118">YEAR(A118)</f>
        <v>2024</v>
      </c>
      <c r="I118" t="str" s="55" cm="1">
        <f t="array" ref="I118">"Q"&amp;ROUNDUP(MONTH(A118)/3,0)</f>
        <v>Q2</v>
      </c>
      <c r="J118" t="s" s="52">
        <v>28</v>
      </c>
    </row>
    <row r="119" ht="13.55" customHeight="1">
      <c r="A119" s="56">
        <v>45411</v>
      </c>
      <c r="B119" t="s" s="57">
        <v>20</v>
      </c>
      <c r="C119" t="s" s="57">
        <v>78</v>
      </c>
      <c r="D119" t="s" s="57">
        <v>17</v>
      </c>
      <c r="E119" s="58">
        <v>13</v>
      </c>
      <c r="F119" s="59">
        <v>28741</v>
      </c>
      <c r="G119" s="59" cm="1">
        <f t="array" ref="G119">E119*F119</f>
        <v>373633</v>
      </c>
      <c r="H119" s="58" cm="1">
        <f t="array" ref="H119">YEAR(A119)</f>
        <v>2024</v>
      </c>
      <c r="I119" t="str" s="60" cm="1">
        <f t="array" ref="I119">"Q"&amp;ROUNDUP(MONTH(A119)/3,0)</f>
        <v>Q2</v>
      </c>
      <c r="J119" t="s" s="57">
        <v>28</v>
      </c>
    </row>
    <row r="120" ht="13.55" customHeight="1">
      <c r="A120" s="51">
        <v>45411</v>
      </c>
      <c r="B120" t="s" s="52">
        <v>23</v>
      </c>
      <c r="C120" t="s" s="52">
        <v>84</v>
      </c>
      <c r="D120" t="s" s="52">
        <v>18</v>
      </c>
      <c r="E120" s="53">
        <v>1</v>
      </c>
      <c r="F120" s="54">
        <v>77075</v>
      </c>
      <c r="G120" s="54" cm="1">
        <f t="array" ref="G120">E120*F120</f>
        <v>77075</v>
      </c>
      <c r="H120" s="53" cm="1">
        <f t="array" ref="H120">YEAR(A120)</f>
        <v>2024</v>
      </c>
      <c r="I120" t="str" s="55" cm="1">
        <f t="array" ref="I120">"Q"&amp;ROUNDUP(MONTH(A120)/3,0)</f>
        <v>Q2</v>
      </c>
      <c r="J120" t="s" s="52">
        <v>28</v>
      </c>
    </row>
    <row r="121" ht="13.55" customHeight="1">
      <c r="A121" s="56">
        <v>45413</v>
      </c>
      <c r="B121" t="s" s="57">
        <v>21</v>
      </c>
      <c r="C121" t="s" s="57">
        <v>83</v>
      </c>
      <c r="D121" t="s" s="57">
        <v>15</v>
      </c>
      <c r="E121" s="58">
        <v>11</v>
      </c>
      <c r="F121" s="59">
        <v>14343</v>
      </c>
      <c r="G121" s="59" cm="1">
        <f t="array" ref="G121">E121*F121</f>
        <v>157773</v>
      </c>
      <c r="H121" s="58" cm="1">
        <f t="array" ref="H121">YEAR(A121)</f>
        <v>2024</v>
      </c>
      <c r="I121" t="str" s="60" cm="1">
        <f t="array" ref="I121">"Q"&amp;ROUNDUP(MONTH(A121)/3,0)</f>
        <v>Q2</v>
      </c>
      <c r="J121" t="s" s="57">
        <v>29</v>
      </c>
    </row>
    <row r="122" ht="13.55" customHeight="1">
      <c r="A122" s="51">
        <v>45413</v>
      </c>
      <c r="B122" t="s" s="52">
        <v>22</v>
      </c>
      <c r="C122" t="s" s="52">
        <v>84</v>
      </c>
      <c r="D122" t="s" s="52">
        <v>16</v>
      </c>
      <c r="E122" s="53">
        <v>4</v>
      </c>
      <c r="F122" s="54">
        <v>77525</v>
      </c>
      <c r="G122" s="54" cm="1">
        <f t="array" ref="G122">E122*F122</f>
        <v>310100</v>
      </c>
      <c r="H122" s="53" cm="1">
        <f t="array" ref="H122">YEAR(A122)</f>
        <v>2024</v>
      </c>
      <c r="I122" t="str" s="55" cm="1">
        <f t="array" ref="I122">"Q"&amp;ROUNDUP(MONTH(A122)/3,0)</f>
        <v>Q2</v>
      </c>
      <c r="J122" t="s" s="52">
        <v>29</v>
      </c>
    </row>
    <row r="123" ht="13.55" customHeight="1">
      <c r="A123" s="56">
        <v>45414</v>
      </c>
      <c r="B123" t="s" s="57">
        <v>21</v>
      </c>
      <c r="C123" t="s" s="57">
        <v>78</v>
      </c>
      <c r="D123" t="s" s="57">
        <v>15</v>
      </c>
      <c r="E123" s="58">
        <v>5</v>
      </c>
      <c r="F123" s="59">
        <v>43759</v>
      </c>
      <c r="G123" s="59" cm="1">
        <f t="array" ref="G123">E123*F123</f>
        <v>218795</v>
      </c>
      <c r="H123" s="58" cm="1">
        <f t="array" ref="H123">YEAR(A123)</f>
        <v>2024</v>
      </c>
      <c r="I123" t="str" s="60" cm="1">
        <f t="array" ref="I123">"Q"&amp;ROUNDUP(MONTH(A123)/3,0)</f>
        <v>Q2</v>
      </c>
      <c r="J123" t="s" s="57">
        <v>29</v>
      </c>
    </row>
    <row r="124" ht="13.55" customHeight="1">
      <c r="A124" s="51">
        <v>45415</v>
      </c>
      <c r="B124" t="s" s="52">
        <v>23</v>
      </c>
      <c r="C124" t="s" s="52">
        <v>81</v>
      </c>
      <c r="D124" t="s" s="52">
        <v>15</v>
      </c>
      <c r="E124" s="53">
        <v>17</v>
      </c>
      <c r="F124" s="54">
        <v>32197</v>
      </c>
      <c r="G124" s="54" cm="1">
        <f t="array" ref="G124">E124*F124</f>
        <v>547349</v>
      </c>
      <c r="H124" s="53" cm="1">
        <f t="array" ref="H124">YEAR(A124)</f>
        <v>2024</v>
      </c>
      <c r="I124" t="str" s="55" cm="1">
        <f t="array" ref="I124">"Q"&amp;ROUNDUP(MONTH(A124)/3,0)</f>
        <v>Q2</v>
      </c>
      <c r="J124" t="s" s="52">
        <v>29</v>
      </c>
    </row>
    <row r="125" ht="13.55" customHeight="1">
      <c r="A125" s="56">
        <v>45416</v>
      </c>
      <c r="B125" t="s" s="57">
        <v>22</v>
      </c>
      <c r="C125" t="s" s="57">
        <v>78</v>
      </c>
      <c r="D125" t="s" s="57">
        <v>17</v>
      </c>
      <c r="E125" s="58">
        <v>17</v>
      </c>
      <c r="F125" s="59">
        <v>39314</v>
      </c>
      <c r="G125" s="59" cm="1">
        <f t="array" ref="G125">E125*F125</f>
        <v>668338</v>
      </c>
      <c r="H125" s="58" cm="1">
        <f t="array" ref="H125">YEAR(A125)</f>
        <v>2024</v>
      </c>
      <c r="I125" t="str" s="60" cm="1">
        <f t="array" ref="I125">"Q"&amp;ROUNDUP(MONTH(A125)/3,0)</f>
        <v>Q2</v>
      </c>
      <c r="J125" t="s" s="57">
        <v>29</v>
      </c>
    </row>
    <row r="126" ht="13.55" customHeight="1">
      <c r="A126" s="51">
        <v>45417</v>
      </c>
      <c r="B126" t="s" s="52">
        <v>23</v>
      </c>
      <c r="C126" t="s" s="52">
        <v>83</v>
      </c>
      <c r="D126" t="s" s="52">
        <v>16</v>
      </c>
      <c r="E126" s="53">
        <v>6</v>
      </c>
      <c r="F126" s="54">
        <v>55042</v>
      </c>
      <c r="G126" s="54" cm="1">
        <f t="array" ref="G126">E126*F126</f>
        <v>330252</v>
      </c>
      <c r="H126" s="53" cm="1">
        <f t="array" ref="H126">YEAR(A126)</f>
        <v>2024</v>
      </c>
      <c r="I126" t="str" s="55" cm="1">
        <f t="array" ref="I126">"Q"&amp;ROUNDUP(MONTH(A126)/3,0)</f>
        <v>Q2</v>
      </c>
      <c r="J126" t="s" s="52">
        <v>29</v>
      </c>
    </row>
    <row r="127" ht="13.55" customHeight="1">
      <c r="A127" s="56">
        <v>45418</v>
      </c>
      <c r="B127" t="s" s="57">
        <v>21</v>
      </c>
      <c r="C127" t="s" s="57">
        <v>83</v>
      </c>
      <c r="D127" t="s" s="57">
        <v>17</v>
      </c>
      <c r="E127" s="58">
        <v>1</v>
      </c>
      <c r="F127" s="59">
        <v>24520</v>
      </c>
      <c r="G127" s="59" cm="1">
        <f t="array" ref="G127">E127*F127</f>
        <v>24520</v>
      </c>
      <c r="H127" s="58" cm="1">
        <f t="array" ref="H127">YEAR(A127)</f>
        <v>2024</v>
      </c>
      <c r="I127" t="str" s="60" cm="1">
        <f t="array" ref="I127">"Q"&amp;ROUNDUP(MONTH(A127)/3,0)</f>
        <v>Q2</v>
      </c>
      <c r="J127" t="s" s="57">
        <v>29</v>
      </c>
    </row>
    <row r="128" ht="13.55" customHeight="1">
      <c r="A128" s="51">
        <v>45419</v>
      </c>
      <c r="B128" t="s" s="52">
        <v>20</v>
      </c>
      <c r="C128" t="s" s="52">
        <v>78</v>
      </c>
      <c r="D128" t="s" s="52">
        <v>15</v>
      </c>
      <c r="E128" s="53">
        <v>19</v>
      </c>
      <c r="F128" s="54">
        <v>41182</v>
      </c>
      <c r="G128" s="54" cm="1">
        <f t="array" ref="G128">E128*F128</f>
        <v>782458</v>
      </c>
      <c r="H128" s="53" cm="1">
        <f t="array" ref="H128">YEAR(A128)</f>
        <v>2024</v>
      </c>
      <c r="I128" t="str" s="55" cm="1">
        <f t="array" ref="I128">"Q"&amp;ROUNDUP(MONTH(A128)/3,0)</f>
        <v>Q2</v>
      </c>
      <c r="J128" t="s" s="52">
        <v>29</v>
      </c>
    </row>
    <row r="129" ht="13.55" customHeight="1">
      <c r="A129" s="56">
        <v>45420</v>
      </c>
      <c r="B129" t="s" s="57">
        <v>21</v>
      </c>
      <c r="C129" t="s" s="57">
        <v>84</v>
      </c>
      <c r="D129" t="s" s="57">
        <v>18</v>
      </c>
      <c r="E129" s="58">
        <v>14</v>
      </c>
      <c r="F129" s="59">
        <v>23257</v>
      </c>
      <c r="G129" s="59" cm="1">
        <f t="array" ref="G129">E129*F129</f>
        <v>325598</v>
      </c>
      <c r="H129" s="58" cm="1">
        <f t="array" ref="H129">YEAR(A129)</f>
        <v>2024</v>
      </c>
      <c r="I129" t="str" s="60" cm="1">
        <f t="array" ref="I129">"Q"&amp;ROUNDUP(MONTH(A129)/3,0)</f>
        <v>Q2</v>
      </c>
      <c r="J129" t="s" s="57">
        <v>29</v>
      </c>
    </row>
    <row r="130" ht="13.55" customHeight="1">
      <c r="A130" s="51">
        <v>45421</v>
      </c>
      <c r="B130" t="s" s="52">
        <v>21</v>
      </c>
      <c r="C130" t="s" s="52">
        <v>80</v>
      </c>
      <c r="D130" t="s" s="52">
        <v>16</v>
      </c>
      <c r="E130" s="53">
        <v>4</v>
      </c>
      <c r="F130" s="54">
        <v>48949</v>
      </c>
      <c r="G130" s="54" cm="1">
        <f t="array" ref="G130">E130*F130</f>
        <v>195796</v>
      </c>
      <c r="H130" s="53" cm="1">
        <f t="array" ref="H130">YEAR(A130)</f>
        <v>2024</v>
      </c>
      <c r="I130" t="str" s="55" cm="1">
        <f t="array" ref="I130">"Q"&amp;ROUNDUP(MONTH(A130)/3,0)</f>
        <v>Q2</v>
      </c>
      <c r="J130" t="s" s="52">
        <v>29</v>
      </c>
    </row>
    <row r="131" ht="13.55" customHeight="1">
      <c r="A131" s="56">
        <v>45422</v>
      </c>
      <c r="B131" t="s" s="57">
        <v>21</v>
      </c>
      <c r="C131" t="s" s="57">
        <v>82</v>
      </c>
      <c r="D131" t="s" s="57">
        <v>18</v>
      </c>
      <c r="E131" s="58">
        <v>6</v>
      </c>
      <c r="F131" s="59">
        <v>26839</v>
      </c>
      <c r="G131" s="59" cm="1">
        <f t="array" ref="G131">E131*F131</f>
        <v>161034</v>
      </c>
      <c r="H131" s="58" cm="1">
        <f t="array" ref="H131">YEAR(A131)</f>
        <v>2024</v>
      </c>
      <c r="I131" t="str" s="60" cm="1">
        <f t="array" ref="I131">"Q"&amp;ROUNDUP(MONTH(A131)/3,0)</f>
        <v>Q2</v>
      </c>
      <c r="J131" t="s" s="57">
        <v>29</v>
      </c>
    </row>
    <row r="132" ht="13.55" customHeight="1">
      <c r="A132" s="51">
        <v>45422</v>
      </c>
      <c r="B132" t="s" s="52">
        <v>20</v>
      </c>
      <c r="C132" t="s" s="52">
        <v>83</v>
      </c>
      <c r="D132" t="s" s="52">
        <v>15</v>
      </c>
      <c r="E132" s="53">
        <v>7</v>
      </c>
      <c r="F132" s="54">
        <v>27931</v>
      </c>
      <c r="G132" s="54" cm="1">
        <f t="array" ref="G132">E132*F132</f>
        <v>195517</v>
      </c>
      <c r="H132" s="53" cm="1">
        <f t="array" ref="H132">YEAR(A132)</f>
        <v>2024</v>
      </c>
      <c r="I132" t="str" s="55" cm="1">
        <f t="array" ref="I132">"Q"&amp;ROUNDUP(MONTH(A132)/3,0)</f>
        <v>Q2</v>
      </c>
      <c r="J132" t="s" s="52">
        <v>29</v>
      </c>
    </row>
    <row r="133" ht="13.55" customHeight="1">
      <c r="A133" s="56">
        <v>45422</v>
      </c>
      <c r="B133" t="s" s="57">
        <v>20</v>
      </c>
      <c r="C133" t="s" s="57">
        <v>80</v>
      </c>
      <c r="D133" t="s" s="57">
        <v>16</v>
      </c>
      <c r="E133" s="58">
        <v>4</v>
      </c>
      <c r="F133" s="59">
        <v>41963</v>
      </c>
      <c r="G133" s="59" cm="1">
        <f t="array" ref="G133">E133*F133</f>
        <v>167852</v>
      </c>
      <c r="H133" s="58" cm="1">
        <f t="array" ref="H133">YEAR(A133)</f>
        <v>2024</v>
      </c>
      <c r="I133" t="str" s="60" cm="1">
        <f t="array" ref="I133">"Q"&amp;ROUNDUP(MONTH(A133)/3,0)</f>
        <v>Q2</v>
      </c>
      <c r="J133" t="s" s="57">
        <v>29</v>
      </c>
    </row>
    <row r="134" ht="13.55" customHeight="1">
      <c r="A134" s="51">
        <v>45423</v>
      </c>
      <c r="B134" t="s" s="52">
        <v>22</v>
      </c>
      <c r="C134" t="s" s="52">
        <v>83</v>
      </c>
      <c r="D134" t="s" s="52">
        <v>16</v>
      </c>
      <c r="E134" s="53">
        <v>2</v>
      </c>
      <c r="F134" s="54">
        <v>39484</v>
      </c>
      <c r="G134" s="54" cm="1">
        <f t="array" ref="G134">E134*F134</f>
        <v>78968</v>
      </c>
      <c r="H134" s="53" cm="1">
        <f t="array" ref="H134">YEAR(A134)</f>
        <v>2024</v>
      </c>
      <c r="I134" t="str" s="55" cm="1">
        <f t="array" ref="I134">"Q"&amp;ROUNDUP(MONTH(A134)/3,0)</f>
        <v>Q2</v>
      </c>
      <c r="J134" t="s" s="52">
        <v>29</v>
      </c>
    </row>
    <row r="135" ht="13.55" customHeight="1">
      <c r="A135" s="56">
        <v>45424</v>
      </c>
      <c r="B135" t="s" s="57">
        <v>20</v>
      </c>
      <c r="C135" t="s" s="57">
        <v>83</v>
      </c>
      <c r="D135" t="s" s="57">
        <v>15</v>
      </c>
      <c r="E135" s="58">
        <v>1</v>
      </c>
      <c r="F135" s="59">
        <v>28929</v>
      </c>
      <c r="G135" s="59" cm="1">
        <f t="array" ref="G135">E135*F135</f>
        <v>28929</v>
      </c>
      <c r="H135" s="58" cm="1">
        <f t="array" ref="H135">YEAR(A135)</f>
        <v>2024</v>
      </c>
      <c r="I135" t="str" s="60" cm="1">
        <f t="array" ref="I135">"Q"&amp;ROUNDUP(MONTH(A135)/3,0)</f>
        <v>Q2</v>
      </c>
      <c r="J135" t="s" s="57">
        <v>29</v>
      </c>
    </row>
    <row r="136" ht="13.55" customHeight="1">
      <c r="A136" s="51">
        <v>45425</v>
      </c>
      <c r="B136" t="s" s="52">
        <v>22</v>
      </c>
      <c r="C136" t="s" s="52">
        <v>78</v>
      </c>
      <c r="D136" t="s" s="52">
        <v>17</v>
      </c>
      <c r="E136" s="53">
        <v>9</v>
      </c>
      <c r="F136" s="54">
        <v>54223</v>
      </c>
      <c r="G136" s="54" cm="1">
        <f t="array" ref="G136">E136*F136</f>
        <v>488007</v>
      </c>
      <c r="H136" s="53" cm="1">
        <f t="array" ref="H136">YEAR(A136)</f>
        <v>2024</v>
      </c>
      <c r="I136" t="str" s="55" cm="1">
        <f t="array" ref="I136">"Q"&amp;ROUNDUP(MONTH(A136)/3,0)</f>
        <v>Q2</v>
      </c>
      <c r="J136" t="s" s="52">
        <v>29</v>
      </c>
    </row>
    <row r="137" ht="13.55" customHeight="1">
      <c r="A137" s="56">
        <v>45426</v>
      </c>
      <c r="B137" t="s" s="57">
        <v>23</v>
      </c>
      <c r="C137" t="s" s="57">
        <v>83</v>
      </c>
      <c r="D137" t="s" s="57">
        <v>15</v>
      </c>
      <c r="E137" s="58">
        <v>9</v>
      </c>
      <c r="F137" s="59">
        <v>46094</v>
      </c>
      <c r="G137" s="59" cm="1">
        <f t="array" ref="G137">E137*F137</f>
        <v>414846</v>
      </c>
      <c r="H137" s="58" cm="1">
        <f t="array" ref="H137">YEAR(A137)</f>
        <v>2024</v>
      </c>
      <c r="I137" t="str" s="60" cm="1">
        <f t="array" ref="I137">"Q"&amp;ROUNDUP(MONTH(A137)/3,0)</f>
        <v>Q2</v>
      </c>
      <c r="J137" t="s" s="57">
        <v>29</v>
      </c>
    </row>
    <row r="138" ht="13.55" customHeight="1">
      <c r="A138" s="51">
        <v>45426</v>
      </c>
      <c r="B138" t="s" s="52">
        <v>22</v>
      </c>
      <c r="C138" t="s" s="52">
        <v>83</v>
      </c>
      <c r="D138" t="s" s="52">
        <v>18</v>
      </c>
      <c r="E138" s="53">
        <v>2</v>
      </c>
      <c r="F138" s="54">
        <v>70901</v>
      </c>
      <c r="G138" s="54" cm="1">
        <f t="array" ref="G138">E138*F138</f>
        <v>141802</v>
      </c>
      <c r="H138" s="53" cm="1">
        <f t="array" ref="H138">YEAR(A138)</f>
        <v>2024</v>
      </c>
      <c r="I138" t="str" s="55" cm="1">
        <f t="array" ref="I138">"Q"&amp;ROUNDUP(MONTH(A138)/3,0)</f>
        <v>Q2</v>
      </c>
      <c r="J138" t="s" s="52">
        <v>29</v>
      </c>
    </row>
    <row r="139" ht="13.55" customHeight="1">
      <c r="A139" s="56">
        <v>45430</v>
      </c>
      <c r="B139" t="s" s="57">
        <v>22</v>
      </c>
      <c r="C139" t="s" s="57">
        <v>83</v>
      </c>
      <c r="D139" t="s" s="57">
        <v>15</v>
      </c>
      <c r="E139" s="58">
        <v>17</v>
      </c>
      <c r="F139" s="59">
        <v>68610</v>
      </c>
      <c r="G139" s="59" cm="1">
        <f t="array" ref="G139">E139*F139</f>
        <v>1166370</v>
      </c>
      <c r="H139" s="58" cm="1">
        <f t="array" ref="H139">YEAR(A139)</f>
        <v>2024</v>
      </c>
      <c r="I139" t="str" s="60" cm="1">
        <f t="array" ref="I139">"Q"&amp;ROUNDUP(MONTH(A139)/3,0)</f>
        <v>Q2</v>
      </c>
      <c r="J139" t="s" s="57">
        <v>29</v>
      </c>
    </row>
    <row r="140" ht="13.55" customHeight="1">
      <c r="A140" s="51">
        <v>45434</v>
      </c>
      <c r="B140" t="s" s="52">
        <v>20</v>
      </c>
      <c r="C140" t="s" s="52">
        <v>82</v>
      </c>
      <c r="D140" t="s" s="52">
        <v>18</v>
      </c>
      <c r="E140" s="53">
        <v>2</v>
      </c>
      <c r="F140" s="54">
        <v>12566</v>
      </c>
      <c r="G140" s="54" cm="1">
        <f t="array" ref="G140">E140*F140</f>
        <v>25132</v>
      </c>
      <c r="H140" s="53" cm="1">
        <f t="array" ref="H140">YEAR(A140)</f>
        <v>2024</v>
      </c>
      <c r="I140" t="str" s="55" cm="1">
        <f t="array" ref="I140">"Q"&amp;ROUNDUP(MONTH(A140)/3,0)</f>
        <v>Q2</v>
      </c>
      <c r="J140" t="s" s="52">
        <v>29</v>
      </c>
    </row>
    <row r="141" ht="13.55" customHeight="1">
      <c r="A141" s="56">
        <v>45434</v>
      </c>
      <c r="B141" t="s" s="57">
        <v>22</v>
      </c>
      <c r="C141" t="s" s="57">
        <v>82</v>
      </c>
      <c r="D141" t="s" s="57">
        <v>15</v>
      </c>
      <c r="E141" s="58">
        <v>12</v>
      </c>
      <c r="F141" s="59">
        <v>20160</v>
      </c>
      <c r="G141" s="59" cm="1">
        <f t="array" ref="G141">E141*F141</f>
        <v>241920</v>
      </c>
      <c r="H141" s="58" cm="1">
        <f t="array" ref="H141">YEAR(A141)</f>
        <v>2024</v>
      </c>
      <c r="I141" t="str" s="60" cm="1">
        <f t="array" ref="I141">"Q"&amp;ROUNDUP(MONTH(A141)/3,0)</f>
        <v>Q2</v>
      </c>
      <c r="J141" t="s" s="57">
        <v>29</v>
      </c>
    </row>
    <row r="142" ht="13.55" customHeight="1">
      <c r="A142" s="51">
        <v>45435</v>
      </c>
      <c r="B142" t="s" s="52">
        <v>23</v>
      </c>
      <c r="C142" t="s" s="52">
        <v>78</v>
      </c>
      <c r="D142" t="s" s="52">
        <v>18</v>
      </c>
      <c r="E142" s="53">
        <v>5</v>
      </c>
      <c r="F142" s="54">
        <v>78933</v>
      </c>
      <c r="G142" s="54" cm="1">
        <f t="array" ref="G142">E142*F142</f>
        <v>394665</v>
      </c>
      <c r="H142" s="53" cm="1">
        <f t="array" ref="H142">YEAR(A142)</f>
        <v>2024</v>
      </c>
      <c r="I142" t="str" s="55" cm="1">
        <f t="array" ref="I142">"Q"&amp;ROUNDUP(MONTH(A142)/3,0)</f>
        <v>Q2</v>
      </c>
      <c r="J142" t="s" s="52">
        <v>29</v>
      </c>
    </row>
    <row r="143" ht="13.55" customHeight="1">
      <c r="A143" s="56">
        <v>45435</v>
      </c>
      <c r="B143" t="s" s="57">
        <v>21</v>
      </c>
      <c r="C143" t="s" s="57">
        <v>83</v>
      </c>
      <c r="D143" t="s" s="57">
        <v>16</v>
      </c>
      <c r="E143" s="58">
        <v>1</v>
      </c>
      <c r="F143" s="59">
        <v>60805</v>
      </c>
      <c r="G143" s="59" cm="1">
        <f t="array" ref="G143">E143*F143</f>
        <v>60805</v>
      </c>
      <c r="H143" s="58" cm="1">
        <f t="array" ref="H143">YEAR(A143)</f>
        <v>2024</v>
      </c>
      <c r="I143" t="str" s="60" cm="1">
        <f t="array" ref="I143">"Q"&amp;ROUNDUP(MONTH(A143)/3,0)</f>
        <v>Q2</v>
      </c>
      <c r="J143" t="s" s="57">
        <v>29</v>
      </c>
    </row>
    <row r="144" ht="13.55" customHeight="1">
      <c r="A144" s="51">
        <v>45435</v>
      </c>
      <c r="B144" t="s" s="52">
        <v>23</v>
      </c>
      <c r="C144" t="s" s="52">
        <v>84</v>
      </c>
      <c r="D144" t="s" s="52">
        <v>17</v>
      </c>
      <c r="E144" s="53">
        <v>18</v>
      </c>
      <c r="F144" s="54">
        <v>49724</v>
      </c>
      <c r="G144" s="54" cm="1">
        <f t="array" ref="G144">E144*F144</f>
        <v>895032</v>
      </c>
      <c r="H144" s="53" cm="1">
        <f t="array" ref="H144">YEAR(A144)</f>
        <v>2024</v>
      </c>
      <c r="I144" t="str" s="55" cm="1">
        <f t="array" ref="I144">"Q"&amp;ROUNDUP(MONTH(A144)/3,0)</f>
        <v>Q2</v>
      </c>
      <c r="J144" t="s" s="52">
        <v>29</v>
      </c>
    </row>
    <row r="145" ht="13.55" customHeight="1">
      <c r="A145" s="56">
        <v>45435</v>
      </c>
      <c r="B145" t="s" s="57">
        <v>21</v>
      </c>
      <c r="C145" t="s" s="57">
        <v>81</v>
      </c>
      <c r="D145" t="s" s="57">
        <v>15</v>
      </c>
      <c r="E145" s="58">
        <v>2</v>
      </c>
      <c r="F145" s="59">
        <v>49516</v>
      </c>
      <c r="G145" s="59" cm="1">
        <f t="array" ref="G145">E145*F145</f>
        <v>99032</v>
      </c>
      <c r="H145" s="58" cm="1">
        <f t="array" ref="H145">YEAR(A145)</f>
        <v>2024</v>
      </c>
      <c r="I145" t="str" s="60" cm="1">
        <f t="array" ref="I145">"Q"&amp;ROUNDUP(MONTH(A145)/3,0)</f>
        <v>Q2</v>
      </c>
      <c r="J145" t="s" s="57">
        <v>29</v>
      </c>
    </row>
    <row r="146" ht="13.55" customHeight="1">
      <c r="A146" s="51">
        <v>45436</v>
      </c>
      <c r="B146" t="s" s="52">
        <v>23</v>
      </c>
      <c r="C146" t="s" s="52">
        <v>84</v>
      </c>
      <c r="D146" t="s" s="52">
        <v>17</v>
      </c>
      <c r="E146" s="53">
        <v>6</v>
      </c>
      <c r="F146" s="54">
        <v>8558</v>
      </c>
      <c r="G146" s="54" cm="1">
        <f t="array" ref="G146">E146*F146</f>
        <v>51348</v>
      </c>
      <c r="H146" s="53" cm="1">
        <f t="array" ref="H146">YEAR(A146)</f>
        <v>2024</v>
      </c>
      <c r="I146" t="str" s="55" cm="1">
        <f t="array" ref="I146">"Q"&amp;ROUNDUP(MONTH(A146)/3,0)</f>
        <v>Q2</v>
      </c>
      <c r="J146" t="s" s="52">
        <v>29</v>
      </c>
    </row>
    <row r="147" ht="13.55" customHeight="1">
      <c r="A147" s="56">
        <v>45438</v>
      </c>
      <c r="B147" t="s" s="57">
        <v>21</v>
      </c>
      <c r="C147" t="s" s="57">
        <v>83</v>
      </c>
      <c r="D147" t="s" s="57">
        <v>16</v>
      </c>
      <c r="E147" s="58">
        <v>11</v>
      </c>
      <c r="F147" s="59">
        <v>22889</v>
      </c>
      <c r="G147" s="59" cm="1">
        <f t="array" ref="G147">E147*F147</f>
        <v>251779</v>
      </c>
      <c r="H147" s="58" cm="1">
        <f t="array" ref="H147">YEAR(A147)</f>
        <v>2024</v>
      </c>
      <c r="I147" t="str" s="60" cm="1">
        <f t="array" ref="I147">"Q"&amp;ROUNDUP(MONTH(A147)/3,0)</f>
        <v>Q2</v>
      </c>
      <c r="J147" t="s" s="57">
        <v>29</v>
      </c>
    </row>
    <row r="148" ht="13.55" customHeight="1">
      <c r="A148" s="51">
        <v>45439</v>
      </c>
      <c r="B148" t="s" s="52">
        <v>22</v>
      </c>
      <c r="C148" t="s" s="52">
        <v>78</v>
      </c>
      <c r="D148" t="s" s="52">
        <v>15</v>
      </c>
      <c r="E148" s="53">
        <v>7</v>
      </c>
      <c r="F148" s="54">
        <v>60612</v>
      </c>
      <c r="G148" s="54" cm="1">
        <f t="array" ref="G148">E148*F148</f>
        <v>424284</v>
      </c>
      <c r="H148" s="53" cm="1">
        <f t="array" ref="H148">YEAR(A148)</f>
        <v>2024</v>
      </c>
      <c r="I148" t="str" s="55" cm="1">
        <f t="array" ref="I148">"Q"&amp;ROUNDUP(MONTH(A148)/3,0)</f>
        <v>Q2</v>
      </c>
      <c r="J148" t="s" s="52">
        <v>29</v>
      </c>
    </row>
    <row r="149" ht="13.55" customHeight="1">
      <c r="A149" s="56">
        <v>45440</v>
      </c>
      <c r="B149" t="s" s="57">
        <v>21</v>
      </c>
      <c r="C149" t="s" s="57">
        <v>83</v>
      </c>
      <c r="D149" t="s" s="57">
        <v>18</v>
      </c>
      <c r="E149" s="58">
        <v>5</v>
      </c>
      <c r="F149" s="59">
        <v>70942</v>
      </c>
      <c r="G149" s="59" cm="1">
        <f t="array" ref="G149">E149*F149</f>
        <v>354710</v>
      </c>
      <c r="H149" s="58" cm="1">
        <f t="array" ref="H149">YEAR(A149)</f>
        <v>2024</v>
      </c>
      <c r="I149" t="str" s="60" cm="1">
        <f t="array" ref="I149">"Q"&amp;ROUNDUP(MONTH(A149)/3,0)</f>
        <v>Q2</v>
      </c>
      <c r="J149" t="s" s="57">
        <v>29</v>
      </c>
    </row>
    <row r="150" ht="13.55" customHeight="1">
      <c r="A150" s="51">
        <v>45441</v>
      </c>
      <c r="B150" t="s" s="52">
        <v>23</v>
      </c>
      <c r="C150" t="s" s="52">
        <v>83</v>
      </c>
      <c r="D150" t="s" s="52">
        <v>15</v>
      </c>
      <c r="E150" s="53">
        <v>4</v>
      </c>
      <c r="F150" s="54">
        <v>53225</v>
      </c>
      <c r="G150" s="54" cm="1">
        <f t="array" ref="G150">E150*F150</f>
        <v>212900</v>
      </c>
      <c r="H150" s="53" cm="1">
        <f t="array" ref="H150">YEAR(A150)</f>
        <v>2024</v>
      </c>
      <c r="I150" t="str" s="55" cm="1">
        <f t="array" ref="I150">"Q"&amp;ROUNDUP(MONTH(A150)/3,0)</f>
        <v>Q2</v>
      </c>
      <c r="J150" t="s" s="52">
        <v>29</v>
      </c>
    </row>
    <row r="151" ht="13.55" customHeight="1">
      <c r="A151" s="56">
        <v>45442</v>
      </c>
      <c r="B151" t="s" s="57">
        <v>21</v>
      </c>
      <c r="C151" t="s" s="57">
        <v>83</v>
      </c>
      <c r="D151" t="s" s="57">
        <v>18</v>
      </c>
      <c r="E151" s="58">
        <v>13</v>
      </c>
      <c r="F151" s="59">
        <v>17392</v>
      </c>
      <c r="G151" s="59" cm="1">
        <f t="array" ref="G151">E151*F151</f>
        <v>226096</v>
      </c>
      <c r="H151" s="58" cm="1">
        <f t="array" ref="H151">YEAR(A151)</f>
        <v>2024</v>
      </c>
      <c r="I151" t="str" s="60" cm="1">
        <f t="array" ref="I151">"Q"&amp;ROUNDUP(MONTH(A151)/3,0)</f>
        <v>Q2</v>
      </c>
      <c r="J151" t="s" s="57">
        <v>29</v>
      </c>
    </row>
    <row r="152" ht="13.55" customHeight="1">
      <c r="A152" s="51">
        <v>45442</v>
      </c>
      <c r="B152" t="s" s="52">
        <v>23</v>
      </c>
      <c r="C152" t="s" s="52">
        <v>83</v>
      </c>
      <c r="D152" t="s" s="52">
        <v>16</v>
      </c>
      <c r="E152" s="53">
        <v>7</v>
      </c>
      <c r="F152" s="54">
        <v>40931</v>
      </c>
      <c r="G152" s="54" cm="1">
        <f t="array" ref="G152">E152*F152</f>
        <v>286517</v>
      </c>
      <c r="H152" s="53" cm="1">
        <f t="array" ref="H152">YEAR(A152)</f>
        <v>2024</v>
      </c>
      <c r="I152" t="str" s="55" cm="1">
        <f t="array" ref="I152">"Q"&amp;ROUNDUP(MONTH(A152)/3,0)</f>
        <v>Q2</v>
      </c>
      <c r="J152" t="s" s="52">
        <v>29</v>
      </c>
    </row>
    <row r="153" ht="13.55" customHeight="1">
      <c r="A153" s="56">
        <v>45443</v>
      </c>
      <c r="B153" t="s" s="57">
        <v>21</v>
      </c>
      <c r="C153" t="s" s="57">
        <v>82</v>
      </c>
      <c r="D153" t="s" s="57">
        <v>16</v>
      </c>
      <c r="E153" s="58">
        <v>6</v>
      </c>
      <c r="F153" s="59">
        <v>57953</v>
      </c>
      <c r="G153" s="59" cm="1">
        <f t="array" ref="G153">E153*F153</f>
        <v>347718</v>
      </c>
      <c r="H153" s="58" cm="1">
        <f t="array" ref="H153">YEAR(A153)</f>
        <v>2024</v>
      </c>
      <c r="I153" t="str" s="60" cm="1">
        <f t="array" ref="I153">"Q"&amp;ROUNDUP(MONTH(A153)/3,0)</f>
        <v>Q2</v>
      </c>
      <c r="J153" t="s" s="57">
        <v>29</v>
      </c>
    </row>
    <row r="154" ht="13.55" customHeight="1">
      <c r="A154" s="51">
        <v>45444</v>
      </c>
      <c r="B154" t="s" s="52">
        <v>20</v>
      </c>
      <c r="C154" t="s" s="52">
        <v>78</v>
      </c>
      <c r="D154" t="s" s="52">
        <v>15</v>
      </c>
      <c r="E154" s="53">
        <v>9</v>
      </c>
      <c r="F154" s="54">
        <v>32526</v>
      </c>
      <c r="G154" s="54" cm="1">
        <f t="array" ref="G154">E154*F154</f>
        <v>292734</v>
      </c>
      <c r="H154" s="53" cm="1">
        <f t="array" ref="H154">YEAR(A154)</f>
        <v>2024</v>
      </c>
      <c r="I154" t="str" s="55" cm="1">
        <f t="array" ref="I154">"Q"&amp;ROUNDUP(MONTH(A154)/3,0)</f>
        <v>Q2</v>
      </c>
      <c r="J154" t="s" s="52">
        <v>31</v>
      </c>
    </row>
    <row r="155" ht="13.55" customHeight="1">
      <c r="A155" s="56">
        <v>45445</v>
      </c>
      <c r="B155" t="s" s="57">
        <v>22</v>
      </c>
      <c r="C155" t="s" s="57">
        <v>82</v>
      </c>
      <c r="D155" t="s" s="57">
        <v>16</v>
      </c>
      <c r="E155" s="58">
        <v>16</v>
      </c>
      <c r="F155" s="59">
        <v>25527</v>
      </c>
      <c r="G155" s="59" cm="1">
        <f t="array" ref="G155">E155*F155</f>
        <v>408432</v>
      </c>
      <c r="H155" s="58" cm="1">
        <f t="array" ref="H155">YEAR(A155)</f>
        <v>2024</v>
      </c>
      <c r="I155" t="str" s="60" cm="1">
        <f t="array" ref="I155">"Q"&amp;ROUNDUP(MONTH(A155)/3,0)</f>
        <v>Q2</v>
      </c>
      <c r="J155" t="s" s="57">
        <v>31</v>
      </c>
    </row>
    <row r="156" ht="13.55" customHeight="1">
      <c r="A156" s="51">
        <v>45446</v>
      </c>
      <c r="B156" t="s" s="52">
        <v>20</v>
      </c>
      <c r="C156" t="s" s="52">
        <v>81</v>
      </c>
      <c r="D156" t="s" s="52">
        <v>16</v>
      </c>
      <c r="E156" s="53">
        <v>14</v>
      </c>
      <c r="F156" s="54">
        <v>17192</v>
      </c>
      <c r="G156" s="54" cm="1">
        <f t="array" ref="G156">E156*F156</f>
        <v>240688</v>
      </c>
      <c r="H156" s="53" cm="1">
        <f t="array" ref="H156">YEAR(A156)</f>
        <v>2024</v>
      </c>
      <c r="I156" t="str" s="55" cm="1">
        <f t="array" ref="I156">"Q"&amp;ROUNDUP(MONTH(A156)/3,0)</f>
        <v>Q2</v>
      </c>
      <c r="J156" t="s" s="52">
        <v>31</v>
      </c>
    </row>
    <row r="157" ht="13.55" customHeight="1">
      <c r="A157" s="56">
        <v>45448</v>
      </c>
      <c r="B157" t="s" s="57">
        <v>20</v>
      </c>
      <c r="C157" t="s" s="57">
        <v>82</v>
      </c>
      <c r="D157" t="s" s="57">
        <v>18</v>
      </c>
      <c r="E157" s="58">
        <v>8</v>
      </c>
      <c r="F157" s="59">
        <v>38458</v>
      </c>
      <c r="G157" s="59" cm="1">
        <f t="array" ref="G157">E157*F157</f>
        <v>307664</v>
      </c>
      <c r="H157" s="58" cm="1">
        <f t="array" ref="H157">YEAR(A157)</f>
        <v>2024</v>
      </c>
      <c r="I157" t="str" s="60" cm="1">
        <f t="array" ref="I157">"Q"&amp;ROUNDUP(MONTH(A157)/3,0)</f>
        <v>Q2</v>
      </c>
      <c r="J157" t="s" s="57">
        <v>31</v>
      </c>
    </row>
    <row r="158" ht="13.55" customHeight="1">
      <c r="A158" s="51">
        <v>45449</v>
      </c>
      <c r="B158" t="s" s="52">
        <v>20</v>
      </c>
      <c r="C158" t="s" s="52">
        <v>84</v>
      </c>
      <c r="D158" t="s" s="52">
        <v>15</v>
      </c>
      <c r="E158" s="53">
        <v>2</v>
      </c>
      <c r="F158" s="54">
        <v>41289</v>
      </c>
      <c r="G158" s="54" cm="1">
        <f t="array" ref="G158">E158*F158</f>
        <v>82578</v>
      </c>
      <c r="H158" s="53" cm="1">
        <f t="array" ref="H158">YEAR(A158)</f>
        <v>2024</v>
      </c>
      <c r="I158" t="str" s="55" cm="1">
        <f t="array" ref="I158">"Q"&amp;ROUNDUP(MONTH(A158)/3,0)</f>
        <v>Q2</v>
      </c>
      <c r="J158" t="s" s="52">
        <v>31</v>
      </c>
    </row>
    <row r="159" ht="13.55" customHeight="1">
      <c r="A159" s="56">
        <v>45451</v>
      </c>
      <c r="B159" t="s" s="57">
        <v>20</v>
      </c>
      <c r="C159" t="s" s="57">
        <v>80</v>
      </c>
      <c r="D159" t="s" s="57">
        <v>15</v>
      </c>
      <c r="E159" s="58">
        <v>6</v>
      </c>
      <c r="F159" s="59">
        <v>45172</v>
      </c>
      <c r="G159" s="59" cm="1">
        <f t="array" ref="G159">E159*F159</f>
        <v>271032</v>
      </c>
      <c r="H159" s="58" cm="1">
        <f t="array" ref="H159">YEAR(A159)</f>
        <v>2024</v>
      </c>
      <c r="I159" t="str" s="60" cm="1">
        <f t="array" ref="I159">"Q"&amp;ROUNDUP(MONTH(A159)/3,0)</f>
        <v>Q2</v>
      </c>
      <c r="J159" t="s" s="57">
        <v>31</v>
      </c>
    </row>
    <row r="160" ht="13.55" customHeight="1">
      <c r="A160" s="51">
        <v>45451</v>
      </c>
      <c r="B160" t="s" s="52">
        <v>21</v>
      </c>
      <c r="C160" t="s" s="52">
        <v>81</v>
      </c>
      <c r="D160" t="s" s="52">
        <v>18</v>
      </c>
      <c r="E160" s="53">
        <v>13</v>
      </c>
      <c r="F160" s="54">
        <v>78648</v>
      </c>
      <c r="G160" s="54" cm="1">
        <f t="array" ref="G160">E160*F160</f>
        <v>1022424</v>
      </c>
      <c r="H160" s="53" cm="1">
        <f t="array" ref="H160">YEAR(A160)</f>
        <v>2024</v>
      </c>
      <c r="I160" t="str" s="55" cm="1">
        <f t="array" ref="I160">"Q"&amp;ROUNDUP(MONTH(A160)/3,0)</f>
        <v>Q2</v>
      </c>
      <c r="J160" t="s" s="52">
        <v>31</v>
      </c>
    </row>
    <row r="161" ht="13.55" customHeight="1">
      <c r="A161" s="56">
        <v>45451</v>
      </c>
      <c r="B161" t="s" s="57">
        <v>22</v>
      </c>
      <c r="C161" t="s" s="57">
        <v>83</v>
      </c>
      <c r="D161" t="s" s="57">
        <v>17</v>
      </c>
      <c r="E161" s="58">
        <v>9</v>
      </c>
      <c r="F161" s="59">
        <v>49589</v>
      </c>
      <c r="G161" s="59" cm="1">
        <f t="array" ref="G161">E161*F161</f>
        <v>446301</v>
      </c>
      <c r="H161" s="58" cm="1">
        <f t="array" ref="H161">YEAR(A161)</f>
        <v>2024</v>
      </c>
      <c r="I161" t="str" s="60" cm="1">
        <f t="array" ref="I161">"Q"&amp;ROUNDUP(MONTH(A161)/3,0)</f>
        <v>Q2</v>
      </c>
      <c r="J161" t="s" s="57">
        <v>31</v>
      </c>
    </row>
    <row r="162" ht="13.55" customHeight="1">
      <c r="A162" s="51">
        <v>45452</v>
      </c>
      <c r="B162" t="s" s="52">
        <v>20</v>
      </c>
      <c r="C162" t="s" s="52">
        <v>80</v>
      </c>
      <c r="D162" t="s" s="52">
        <v>16</v>
      </c>
      <c r="E162" s="53">
        <v>17</v>
      </c>
      <c r="F162" s="54">
        <v>68185</v>
      </c>
      <c r="G162" s="54" cm="1">
        <f t="array" ref="G162">E162*F162</f>
        <v>1159145</v>
      </c>
      <c r="H162" s="53" cm="1">
        <f t="array" ref="H162">YEAR(A162)</f>
        <v>2024</v>
      </c>
      <c r="I162" t="str" s="55" cm="1">
        <f t="array" ref="I162">"Q"&amp;ROUNDUP(MONTH(A162)/3,0)</f>
        <v>Q2</v>
      </c>
      <c r="J162" t="s" s="52">
        <v>31</v>
      </c>
    </row>
    <row r="163" ht="13.55" customHeight="1">
      <c r="A163" s="56">
        <v>45452</v>
      </c>
      <c r="B163" t="s" s="57">
        <v>22</v>
      </c>
      <c r="C163" t="s" s="57">
        <v>81</v>
      </c>
      <c r="D163" t="s" s="57">
        <v>16</v>
      </c>
      <c r="E163" s="58">
        <v>15</v>
      </c>
      <c r="F163" s="59">
        <v>34063</v>
      </c>
      <c r="G163" s="59" cm="1">
        <f t="array" ref="G163">E163*F163</f>
        <v>510945</v>
      </c>
      <c r="H163" s="58" cm="1">
        <f t="array" ref="H163">YEAR(A163)</f>
        <v>2024</v>
      </c>
      <c r="I163" t="str" s="60" cm="1">
        <f t="array" ref="I163">"Q"&amp;ROUNDUP(MONTH(A163)/3,0)</f>
        <v>Q2</v>
      </c>
      <c r="J163" t="s" s="57">
        <v>31</v>
      </c>
    </row>
    <row r="164" ht="13.55" customHeight="1">
      <c r="A164" s="51">
        <v>45452</v>
      </c>
      <c r="B164" t="s" s="52">
        <v>23</v>
      </c>
      <c r="C164" t="s" s="52">
        <v>78</v>
      </c>
      <c r="D164" t="s" s="52">
        <v>15</v>
      </c>
      <c r="E164" s="53">
        <v>14</v>
      </c>
      <c r="F164" s="54">
        <v>19256</v>
      </c>
      <c r="G164" s="54" cm="1">
        <f t="array" ref="G164">E164*F164</f>
        <v>269584</v>
      </c>
      <c r="H164" s="53" cm="1">
        <f t="array" ref="H164">YEAR(A164)</f>
        <v>2024</v>
      </c>
      <c r="I164" t="str" s="55" cm="1">
        <f t="array" ref="I164">"Q"&amp;ROUNDUP(MONTH(A164)/3,0)</f>
        <v>Q2</v>
      </c>
      <c r="J164" t="s" s="52">
        <v>31</v>
      </c>
    </row>
    <row r="165" ht="13.55" customHeight="1">
      <c r="A165" s="56">
        <v>45453</v>
      </c>
      <c r="B165" t="s" s="57">
        <v>21</v>
      </c>
      <c r="C165" t="s" s="57">
        <v>82</v>
      </c>
      <c r="D165" t="s" s="57">
        <v>18</v>
      </c>
      <c r="E165" s="58">
        <v>12</v>
      </c>
      <c r="F165" s="59">
        <v>48764</v>
      </c>
      <c r="G165" s="59" cm="1">
        <f t="array" ref="G165">E165*F165</f>
        <v>585168</v>
      </c>
      <c r="H165" s="58" cm="1">
        <f t="array" ref="H165">YEAR(A165)</f>
        <v>2024</v>
      </c>
      <c r="I165" t="str" s="60" cm="1">
        <f t="array" ref="I165">"Q"&amp;ROUNDUP(MONTH(A165)/3,0)</f>
        <v>Q2</v>
      </c>
      <c r="J165" t="s" s="57">
        <v>31</v>
      </c>
    </row>
    <row r="166" ht="13.55" customHeight="1">
      <c r="A166" s="51">
        <v>45454</v>
      </c>
      <c r="B166" t="s" s="52">
        <v>23</v>
      </c>
      <c r="C166" t="s" s="52">
        <v>81</v>
      </c>
      <c r="D166" t="s" s="52">
        <v>18</v>
      </c>
      <c r="E166" s="53">
        <v>17</v>
      </c>
      <c r="F166" s="54">
        <v>33820</v>
      </c>
      <c r="G166" s="54" cm="1">
        <f t="array" ref="G166">E166*F166</f>
        <v>574940</v>
      </c>
      <c r="H166" s="53" cm="1">
        <f t="array" ref="H166">YEAR(A166)</f>
        <v>2024</v>
      </c>
      <c r="I166" t="str" s="55" cm="1">
        <f t="array" ref="I166">"Q"&amp;ROUNDUP(MONTH(A166)/3,0)</f>
        <v>Q2</v>
      </c>
      <c r="J166" t="s" s="52">
        <v>31</v>
      </c>
    </row>
    <row r="167" ht="13.55" customHeight="1">
      <c r="A167" s="56">
        <v>45454</v>
      </c>
      <c r="B167" t="s" s="57">
        <v>23</v>
      </c>
      <c r="C167" t="s" s="57">
        <v>81</v>
      </c>
      <c r="D167" t="s" s="57">
        <v>15</v>
      </c>
      <c r="E167" s="58">
        <v>19</v>
      </c>
      <c r="F167" s="59">
        <v>25324</v>
      </c>
      <c r="G167" s="59" cm="1">
        <f t="array" ref="G167">E167*F167</f>
        <v>481156</v>
      </c>
      <c r="H167" s="58" cm="1">
        <f t="array" ref="H167">YEAR(A167)</f>
        <v>2024</v>
      </c>
      <c r="I167" t="str" s="60" cm="1">
        <f t="array" ref="I167">"Q"&amp;ROUNDUP(MONTH(A167)/3,0)</f>
        <v>Q2</v>
      </c>
      <c r="J167" t="s" s="57">
        <v>31</v>
      </c>
    </row>
    <row r="168" ht="13.55" customHeight="1">
      <c r="A168" s="51">
        <v>45456</v>
      </c>
      <c r="B168" t="s" s="52">
        <v>21</v>
      </c>
      <c r="C168" t="s" s="52">
        <v>81</v>
      </c>
      <c r="D168" t="s" s="52">
        <v>16</v>
      </c>
      <c r="E168" s="53">
        <v>19</v>
      </c>
      <c r="F168" s="54">
        <v>50927</v>
      </c>
      <c r="G168" s="54" cm="1">
        <f t="array" ref="G168">E168*F168</f>
        <v>967613</v>
      </c>
      <c r="H168" s="53" cm="1">
        <f t="array" ref="H168">YEAR(A168)</f>
        <v>2024</v>
      </c>
      <c r="I168" t="str" s="55" cm="1">
        <f t="array" ref="I168">"Q"&amp;ROUNDUP(MONTH(A168)/3,0)</f>
        <v>Q2</v>
      </c>
      <c r="J168" t="s" s="52">
        <v>31</v>
      </c>
    </row>
    <row r="169" ht="13.55" customHeight="1">
      <c r="A169" s="56">
        <v>45458</v>
      </c>
      <c r="B169" t="s" s="57">
        <v>22</v>
      </c>
      <c r="C169" t="s" s="57">
        <v>81</v>
      </c>
      <c r="D169" t="s" s="57">
        <v>18</v>
      </c>
      <c r="E169" s="58">
        <v>6</v>
      </c>
      <c r="F169" s="59">
        <v>10898</v>
      </c>
      <c r="G169" s="59" cm="1">
        <f t="array" ref="G169">E169*F169</f>
        <v>65388</v>
      </c>
      <c r="H169" s="58" cm="1">
        <f t="array" ref="H169">YEAR(A169)</f>
        <v>2024</v>
      </c>
      <c r="I169" t="str" s="60" cm="1">
        <f t="array" ref="I169">"Q"&amp;ROUNDUP(MONTH(A169)/3,0)</f>
        <v>Q2</v>
      </c>
      <c r="J169" t="s" s="57">
        <v>31</v>
      </c>
    </row>
    <row r="170" ht="13.55" customHeight="1">
      <c r="A170" s="51">
        <v>45458</v>
      </c>
      <c r="B170" t="s" s="52">
        <v>22</v>
      </c>
      <c r="C170" t="s" s="52">
        <v>78</v>
      </c>
      <c r="D170" t="s" s="52">
        <v>16</v>
      </c>
      <c r="E170" s="53">
        <v>11</v>
      </c>
      <c r="F170" s="54">
        <v>79816</v>
      </c>
      <c r="G170" s="54" cm="1">
        <f t="array" ref="G170">E170*F170</f>
        <v>877976</v>
      </c>
      <c r="H170" s="53" cm="1">
        <f t="array" ref="H170">YEAR(A170)</f>
        <v>2024</v>
      </c>
      <c r="I170" t="str" s="55" cm="1">
        <f t="array" ref="I170">"Q"&amp;ROUNDUP(MONTH(A170)/3,0)</f>
        <v>Q2</v>
      </c>
      <c r="J170" t="s" s="52">
        <v>31</v>
      </c>
    </row>
    <row r="171" ht="13.55" customHeight="1">
      <c r="A171" s="56">
        <v>45459</v>
      </c>
      <c r="B171" t="s" s="57">
        <v>22</v>
      </c>
      <c r="C171" t="s" s="57">
        <v>81</v>
      </c>
      <c r="D171" t="s" s="57">
        <v>16</v>
      </c>
      <c r="E171" s="58">
        <v>17</v>
      </c>
      <c r="F171" s="59">
        <v>79640</v>
      </c>
      <c r="G171" s="59" cm="1">
        <f t="array" ref="G171">E171*F171</f>
        <v>1353880</v>
      </c>
      <c r="H171" s="58" cm="1">
        <f t="array" ref="H171">YEAR(A171)</f>
        <v>2024</v>
      </c>
      <c r="I171" t="str" s="60" cm="1">
        <f t="array" ref="I171">"Q"&amp;ROUNDUP(MONTH(A171)/3,0)</f>
        <v>Q2</v>
      </c>
      <c r="J171" t="s" s="57">
        <v>31</v>
      </c>
    </row>
    <row r="172" ht="13.55" customHeight="1">
      <c r="A172" s="51">
        <v>45459</v>
      </c>
      <c r="B172" t="s" s="52">
        <v>22</v>
      </c>
      <c r="C172" t="s" s="52">
        <v>81</v>
      </c>
      <c r="D172" t="s" s="52">
        <v>18</v>
      </c>
      <c r="E172" s="53">
        <v>14</v>
      </c>
      <c r="F172" s="54">
        <v>65281</v>
      </c>
      <c r="G172" s="54" cm="1">
        <f t="array" ref="G172">E172*F172</f>
        <v>913934</v>
      </c>
      <c r="H172" s="53" cm="1">
        <f t="array" ref="H172">YEAR(A172)</f>
        <v>2024</v>
      </c>
      <c r="I172" t="str" s="55" cm="1">
        <f t="array" ref="I172">"Q"&amp;ROUNDUP(MONTH(A172)/3,0)</f>
        <v>Q2</v>
      </c>
      <c r="J172" t="s" s="52">
        <v>31</v>
      </c>
    </row>
    <row r="173" ht="13.55" customHeight="1">
      <c r="A173" s="56">
        <v>45461</v>
      </c>
      <c r="B173" t="s" s="57">
        <v>21</v>
      </c>
      <c r="C173" t="s" s="57">
        <v>83</v>
      </c>
      <c r="D173" t="s" s="57">
        <v>16</v>
      </c>
      <c r="E173" s="58">
        <v>4</v>
      </c>
      <c r="F173" s="59">
        <v>21260</v>
      </c>
      <c r="G173" s="59" cm="1">
        <f t="array" ref="G173">E173*F173</f>
        <v>85040</v>
      </c>
      <c r="H173" s="58" cm="1">
        <f t="array" ref="H173">YEAR(A173)</f>
        <v>2024</v>
      </c>
      <c r="I173" t="str" s="60" cm="1">
        <f t="array" ref="I173">"Q"&amp;ROUNDUP(MONTH(A173)/3,0)</f>
        <v>Q2</v>
      </c>
      <c r="J173" t="s" s="57">
        <v>31</v>
      </c>
    </row>
    <row r="174" ht="13.55" customHeight="1">
      <c r="A174" s="51">
        <v>45462</v>
      </c>
      <c r="B174" t="s" s="52">
        <v>23</v>
      </c>
      <c r="C174" t="s" s="52">
        <v>84</v>
      </c>
      <c r="D174" t="s" s="52">
        <v>17</v>
      </c>
      <c r="E174" s="53">
        <v>15</v>
      </c>
      <c r="F174" s="54">
        <v>56925</v>
      </c>
      <c r="G174" s="54" cm="1">
        <f t="array" ref="G174">E174*F174</f>
        <v>853875</v>
      </c>
      <c r="H174" s="53" cm="1">
        <f t="array" ref="H174">YEAR(A174)</f>
        <v>2024</v>
      </c>
      <c r="I174" t="str" s="55" cm="1">
        <f t="array" ref="I174">"Q"&amp;ROUNDUP(MONTH(A174)/3,0)</f>
        <v>Q2</v>
      </c>
      <c r="J174" t="s" s="52">
        <v>31</v>
      </c>
    </row>
    <row r="175" ht="13.55" customHeight="1">
      <c r="A175" s="56">
        <v>45463</v>
      </c>
      <c r="B175" t="s" s="57">
        <v>21</v>
      </c>
      <c r="C175" t="s" s="57">
        <v>81</v>
      </c>
      <c r="D175" t="s" s="57">
        <v>15</v>
      </c>
      <c r="E175" s="58">
        <v>13</v>
      </c>
      <c r="F175" s="59">
        <v>13210</v>
      </c>
      <c r="G175" s="59" cm="1">
        <f t="array" ref="G175">E175*F175</f>
        <v>171730</v>
      </c>
      <c r="H175" s="58" cm="1">
        <f t="array" ref="H175">YEAR(A175)</f>
        <v>2024</v>
      </c>
      <c r="I175" t="str" s="60" cm="1">
        <f t="array" ref="I175">"Q"&amp;ROUNDUP(MONTH(A175)/3,0)</f>
        <v>Q2</v>
      </c>
      <c r="J175" t="s" s="57">
        <v>31</v>
      </c>
    </row>
    <row r="176" ht="13.55" customHeight="1">
      <c r="A176" s="51">
        <v>45464</v>
      </c>
      <c r="B176" t="s" s="52">
        <v>21</v>
      </c>
      <c r="C176" t="s" s="52">
        <v>83</v>
      </c>
      <c r="D176" t="s" s="52">
        <v>18</v>
      </c>
      <c r="E176" s="53">
        <v>19</v>
      </c>
      <c r="F176" s="54">
        <v>34631</v>
      </c>
      <c r="G176" s="54" cm="1">
        <f t="array" ref="G176">E176*F176</f>
        <v>657989</v>
      </c>
      <c r="H176" s="53" cm="1">
        <f t="array" ref="H176">YEAR(A176)</f>
        <v>2024</v>
      </c>
      <c r="I176" t="str" s="55" cm="1">
        <f t="array" ref="I176">"Q"&amp;ROUNDUP(MONTH(A176)/3,0)</f>
        <v>Q2</v>
      </c>
      <c r="J176" t="s" s="52">
        <v>31</v>
      </c>
    </row>
    <row r="177" ht="13.55" customHeight="1">
      <c r="A177" s="56">
        <v>45464</v>
      </c>
      <c r="B177" t="s" s="57">
        <v>20</v>
      </c>
      <c r="C177" t="s" s="57">
        <v>82</v>
      </c>
      <c r="D177" t="s" s="57">
        <v>16</v>
      </c>
      <c r="E177" s="58">
        <v>4</v>
      </c>
      <c r="F177" s="59">
        <v>14460</v>
      </c>
      <c r="G177" s="59" cm="1">
        <f t="array" ref="G177">E177*F177</f>
        <v>57840</v>
      </c>
      <c r="H177" s="58" cm="1">
        <f t="array" ref="H177">YEAR(A177)</f>
        <v>2024</v>
      </c>
      <c r="I177" t="str" s="60" cm="1">
        <f t="array" ref="I177">"Q"&amp;ROUNDUP(MONTH(A177)/3,0)</f>
        <v>Q2</v>
      </c>
      <c r="J177" t="s" s="57">
        <v>31</v>
      </c>
    </row>
    <row r="178" ht="13.55" customHeight="1">
      <c r="A178" s="51">
        <v>45465</v>
      </c>
      <c r="B178" t="s" s="52">
        <v>22</v>
      </c>
      <c r="C178" t="s" s="52">
        <v>78</v>
      </c>
      <c r="D178" t="s" s="52">
        <v>17</v>
      </c>
      <c r="E178" s="53">
        <v>8</v>
      </c>
      <c r="F178" s="54">
        <v>79711</v>
      </c>
      <c r="G178" s="54" cm="1">
        <f t="array" ref="G178">E178*F178</f>
        <v>637688</v>
      </c>
      <c r="H178" s="53" cm="1">
        <f t="array" ref="H178">YEAR(A178)</f>
        <v>2024</v>
      </c>
      <c r="I178" t="str" s="55" cm="1">
        <f t="array" ref="I178">"Q"&amp;ROUNDUP(MONTH(A178)/3,0)</f>
        <v>Q2</v>
      </c>
      <c r="J178" t="s" s="52">
        <v>31</v>
      </c>
    </row>
    <row r="179" ht="13.55" customHeight="1">
      <c r="A179" s="56">
        <v>45467</v>
      </c>
      <c r="B179" t="s" s="57">
        <v>23</v>
      </c>
      <c r="C179" t="s" s="57">
        <v>83</v>
      </c>
      <c r="D179" t="s" s="57">
        <v>16</v>
      </c>
      <c r="E179" s="58">
        <v>18</v>
      </c>
      <c r="F179" s="59">
        <v>10213</v>
      </c>
      <c r="G179" s="59" cm="1">
        <f t="array" ref="G179">E179*F179</f>
        <v>183834</v>
      </c>
      <c r="H179" s="58" cm="1">
        <f t="array" ref="H179">YEAR(A179)</f>
        <v>2024</v>
      </c>
      <c r="I179" t="str" s="60" cm="1">
        <f t="array" ref="I179">"Q"&amp;ROUNDUP(MONTH(A179)/3,0)</f>
        <v>Q2</v>
      </c>
      <c r="J179" t="s" s="57">
        <v>31</v>
      </c>
    </row>
    <row r="180" ht="13.55" customHeight="1">
      <c r="A180" s="51">
        <v>45468</v>
      </c>
      <c r="B180" t="s" s="52">
        <v>20</v>
      </c>
      <c r="C180" t="s" s="52">
        <v>84</v>
      </c>
      <c r="D180" t="s" s="52">
        <v>16</v>
      </c>
      <c r="E180" s="53">
        <v>10</v>
      </c>
      <c r="F180" s="54">
        <v>75427</v>
      </c>
      <c r="G180" s="54" cm="1">
        <f t="array" ref="G180">E180*F180</f>
        <v>754270</v>
      </c>
      <c r="H180" s="53" cm="1">
        <f t="array" ref="H180">YEAR(A180)</f>
        <v>2024</v>
      </c>
      <c r="I180" t="str" s="55" cm="1">
        <f t="array" ref="I180">"Q"&amp;ROUNDUP(MONTH(A180)/3,0)</f>
        <v>Q2</v>
      </c>
      <c r="J180" t="s" s="52">
        <v>31</v>
      </c>
    </row>
    <row r="181" ht="13.55" customHeight="1">
      <c r="A181" s="56">
        <v>45469</v>
      </c>
      <c r="B181" t="s" s="57">
        <v>20</v>
      </c>
      <c r="C181" t="s" s="57">
        <v>80</v>
      </c>
      <c r="D181" t="s" s="57">
        <v>17</v>
      </c>
      <c r="E181" s="58">
        <v>4</v>
      </c>
      <c r="F181" s="59">
        <v>9827</v>
      </c>
      <c r="G181" s="59" cm="1">
        <f t="array" ref="G181">E181*F181</f>
        <v>39308</v>
      </c>
      <c r="H181" s="58" cm="1">
        <f t="array" ref="H181">YEAR(A181)</f>
        <v>2024</v>
      </c>
      <c r="I181" t="str" s="60" cm="1">
        <f t="array" ref="I181">"Q"&amp;ROUNDUP(MONTH(A181)/3,0)</f>
        <v>Q2</v>
      </c>
      <c r="J181" t="s" s="57">
        <v>31</v>
      </c>
    </row>
    <row r="182" ht="13.55" customHeight="1">
      <c r="A182" s="51">
        <v>45471</v>
      </c>
      <c r="B182" t="s" s="52">
        <v>22</v>
      </c>
      <c r="C182" t="s" s="52">
        <v>82</v>
      </c>
      <c r="D182" t="s" s="52">
        <v>17</v>
      </c>
      <c r="E182" s="53">
        <v>2</v>
      </c>
      <c r="F182" s="54">
        <v>19079</v>
      </c>
      <c r="G182" s="54" cm="1">
        <f t="array" ref="G182">E182*F182</f>
        <v>38158</v>
      </c>
      <c r="H182" s="53" cm="1">
        <f t="array" ref="H182">YEAR(A182)</f>
        <v>2024</v>
      </c>
      <c r="I182" t="str" s="55" cm="1">
        <f t="array" ref="I182">"Q"&amp;ROUNDUP(MONTH(A182)/3,0)</f>
        <v>Q2</v>
      </c>
      <c r="J182" t="s" s="52">
        <v>31</v>
      </c>
    </row>
    <row r="183" ht="13.55" customHeight="1">
      <c r="A183" s="56">
        <v>45472</v>
      </c>
      <c r="B183" t="s" s="57">
        <v>23</v>
      </c>
      <c r="C183" t="s" s="57">
        <v>84</v>
      </c>
      <c r="D183" t="s" s="57">
        <v>18</v>
      </c>
      <c r="E183" s="58">
        <v>2</v>
      </c>
      <c r="F183" s="59">
        <v>19211</v>
      </c>
      <c r="G183" s="59" cm="1">
        <f t="array" ref="G183">E183*F183</f>
        <v>38422</v>
      </c>
      <c r="H183" s="58" cm="1">
        <f t="array" ref="H183">YEAR(A183)</f>
        <v>2024</v>
      </c>
      <c r="I183" t="str" s="60" cm="1">
        <f t="array" ref="I183">"Q"&amp;ROUNDUP(MONTH(A183)/3,0)</f>
        <v>Q2</v>
      </c>
      <c r="J183" t="s" s="57">
        <v>31</v>
      </c>
    </row>
    <row r="184" ht="13.55" customHeight="1">
      <c r="A184" s="51">
        <v>45473</v>
      </c>
      <c r="B184" t="s" s="52">
        <v>20</v>
      </c>
      <c r="C184" t="s" s="52">
        <v>81</v>
      </c>
      <c r="D184" t="s" s="52">
        <v>18</v>
      </c>
      <c r="E184" s="53">
        <v>9</v>
      </c>
      <c r="F184" s="54">
        <v>7866</v>
      </c>
      <c r="G184" s="54" cm="1">
        <f t="array" ref="G184">E184*F184</f>
        <v>70794</v>
      </c>
      <c r="H184" s="53" cm="1">
        <f t="array" ref="H184">YEAR(A184)</f>
        <v>2024</v>
      </c>
      <c r="I184" t="str" s="55" cm="1">
        <f t="array" ref="I184">"Q"&amp;ROUNDUP(MONTH(A184)/3,0)</f>
        <v>Q2</v>
      </c>
      <c r="J184" t="s" s="52">
        <v>31</v>
      </c>
    </row>
    <row r="185" ht="13.55" customHeight="1">
      <c r="A185" s="56">
        <v>45475</v>
      </c>
      <c r="B185" t="s" s="57">
        <v>23</v>
      </c>
      <c r="C185" t="s" s="57">
        <v>82</v>
      </c>
      <c r="D185" t="s" s="57">
        <v>16</v>
      </c>
      <c r="E185" s="58">
        <v>10</v>
      </c>
      <c r="F185" s="59">
        <v>60480</v>
      </c>
      <c r="G185" s="59" cm="1">
        <f t="array" ref="G185">E185*F185</f>
        <v>604800</v>
      </c>
      <c r="H185" s="58" cm="1">
        <f t="array" ref="H185">YEAR(A185)</f>
        <v>2024</v>
      </c>
      <c r="I185" t="str" s="60" cm="1">
        <f t="array" ref="I185">"Q"&amp;ROUNDUP(MONTH(A185)/3,0)</f>
        <v>Q3</v>
      </c>
      <c r="J185" t="s" s="57">
        <v>36</v>
      </c>
    </row>
    <row r="186" ht="13.55" customHeight="1">
      <c r="A186" s="51">
        <v>45477</v>
      </c>
      <c r="B186" t="s" s="52">
        <v>20</v>
      </c>
      <c r="C186" t="s" s="52">
        <v>78</v>
      </c>
      <c r="D186" t="s" s="52">
        <v>17</v>
      </c>
      <c r="E186" s="53">
        <v>10</v>
      </c>
      <c r="F186" s="54">
        <v>72766</v>
      </c>
      <c r="G186" s="54" cm="1">
        <f t="array" ref="G186">E186*F186</f>
        <v>727660</v>
      </c>
      <c r="H186" s="53" cm="1">
        <f t="array" ref="H186">YEAR(A186)</f>
        <v>2024</v>
      </c>
      <c r="I186" t="str" s="55" cm="1">
        <f t="array" ref="I186">"Q"&amp;ROUNDUP(MONTH(A186)/3,0)</f>
        <v>Q3</v>
      </c>
      <c r="J186" t="s" s="52">
        <v>36</v>
      </c>
    </row>
    <row r="187" ht="13.55" customHeight="1">
      <c r="A187" s="56">
        <v>45478</v>
      </c>
      <c r="B187" t="s" s="57">
        <v>22</v>
      </c>
      <c r="C187" t="s" s="57">
        <v>80</v>
      </c>
      <c r="D187" t="s" s="57">
        <v>17</v>
      </c>
      <c r="E187" s="58">
        <v>13</v>
      </c>
      <c r="F187" s="59">
        <v>27010</v>
      </c>
      <c r="G187" s="59" cm="1">
        <f t="array" ref="G187">E187*F187</f>
        <v>351130</v>
      </c>
      <c r="H187" s="58" cm="1">
        <f t="array" ref="H187">YEAR(A187)</f>
        <v>2024</v>
      </c>
      <c r="I187" t="str" s="60" cm="1">
        <f t="array" ref="I187">"Q"&amp;ROUNDUP(MONTH(A187)/3,0)</f>
        <v>Q3</v>
      </c>
      <c r="J187" t="s" s="57">
        <v>36</v>
      </c>
    </row>
    <row r="188" ht="13.55" customHeight="1">
      <c r="A188" s="51">
        <v>45479</v>
      </c>
      <c r="B188" t="s" s="52">
        <v>21</v>
      </c>
      <c r="C188" t="s" s="52">
        <v>84</v>
      </c>
      <c r="D188" t="s" s="52">
        <v>16</v>
      </c>
      <c r="E188" s="53">
        <v>18</v>
      </c>
      <c r="F188" s="54">
        <v>19924</v>
      </c>
      <c r="G188" s="54" cm="1">
        <f t="array" ref="G188">E188*F188</f>
        <v>358632</v>
      </c>
      <c r="H188" s="53" cm="1">
        <f t="array" ref="H188">YEAR(A188)</f>
        <v>2024</v>
      </c>
      <c r="I188" t="str" s="55" cm="1">
        <f t="array" ref="I188">"Q"&amp;ROUNDUP(MONTH(A188)/3,0)</f>
        <v>Q3</v>
      </c>
      <c r="J188" t="s" s="52">
        <v>36</v>
      </c>
    </row>
    <row r="189" ht="13.55" customHeight="1">
      <c r="A189" s="56">
        <v>45480</v>
      </c>
      <c r="B189" t="s" s="57">
        <v>20</v>
      </c>
      <c r="C189" t="s" s="57">
        <v>84</v>
      </c>
      <c r="D189" t="s" s="57">
        <v>15</v>
      </c>
      <c r="E189" s="58">
        <v>3</v>
      </c>
      <c r="F189" s="59">
        <v>33378</v>
      </c>
      <c r="G189" s="59" cm="1">
        <f t="array" ref="G189">E189*F189</f>
        <v>100134</v>
      </c>
      <c r="H189" s="58" cm="1">
        <f t="array" ref="H189">YEAR(A189)</f>
        <v>2024</v>
      </c>
      <c r="I189" t="str" s="60" cm="1">
        <f t="array" ref="I189">"Q"&amp;ROUNDUP(MONTH(A189)/3,0)</f>
        <v>Q3</v>
      </c>
      <c r="J189" t="s" s="57">
        <v>36</v>
      </c>
    </row>
    <row r="190" ht="13.55" customHeight="1">
      <c r="A190" s="51">
        <v>45481</v>
      </c>
      <c r="B190" t="s" s="52">
        <v>21</v>
      </c>
      <c r="C190" t="s" s="52">
        <v>82</v>
      </c>
      <c r="D190" t="s" s="52">
        <v>17</v>
      </c>
      <c r="E190" s="53">
        <v>1</v>
      </c>
      <c r="F190" s="54">
        <v>8453</v>
      </c>
      <c r="G190" s="54" cm="1">
        <f t="array" ref="G190">E190*F190</f>
        <v>8453</v>
      </c>
      <c r="H190" s="53" cm="1">
        <f t="array" ref="H190">YEAR(A190)</f>
        <v>2024</v>
      </c>
      <c r="I190" t="str" s="55" cm="1">
        <f t="array" ref="I190">"Q"&amp;ROUNDUP(MONTH(A190)/3,0)</f>
        <v>Q3</v>
      </c>
      <c r="J190" t="s" s="52">
        <v>36</v>
      </c>
    </row>
    <row r="191" ht="13.55" customHeight="1">
      <c r="A191" s="56">
        <v>45481</v>
      </c>
      <c r="B191" t="s" s="57">
        <v>20</v>
      </c>
      <c r="C191" t="s" s="57">
        <v>83</v>
      </c>
      <c r="D191" t="s" s="57">
        <v>17</v>
      </c>
      <c r="E191" s="58">
        <v>19</v>
      </c>
      <c r="F191" s="59">
        <v>66842</v>
      </c>
      <c r="G191" s="59" cm="1">
        <f t="array" ref="G191">E191*F191</f>
        <v>1269998</v>
      </c>
      <c r="H191" s="58" cm="1">
        <f t="array" ref="H191">YEAR(A191)</f>
        <v>2024</v>
      </c>
      <c r="I191" t="str" s="60" cm="1">
        <f t="array" ref="I191">"Q"&amp;ROUNDUP(MONTH(A191)/3,0)</f>
        <v>Q3</v>
      </c>
      <c r="J191" t="s" s="57">
        <v>36</v>
      </c>
    </row>
    <row r="192" ht="13.55" customHeight="1">
      <c r="A192" s="51">
        <v>45481</v>
      </c>
      <c r="B192" t="s" s="52">
        <v>22</v>
      </c>
      <c r="C192" t="s" s="52">
        <v>83</v>
      </c>
      <c r="D192" t="s" s="52">
        <v>16</v>
      </c>
      <c r="E192" s="53">
        <v>15</v>
      </c>
      <c r="F192" s="54">
        <v>48618</v>
      </c>
      <c r="G192" s="54" cm="1">
        <f t="array" ref="G192">E192*F192</f>
        <v>729270</v>
      </c>
      <c r="H192" s="53" cm="1">
        <f t="array" ref="H192">YEAR(A192)</f>
        <v>2024</v>
      </c>
      <c r="I192" t="str" s="55" cm="1">
        <f t="array" ref="I192">"Q"&amp;ROUNDUP(MONTH(A192)/3,0)</f>
        <v>Q3</v>
      </c>
      <c r="J192" t="s" s="52">
        <v>36</v>
      </c>
    </row>
    <row r="193" ht="13.55" customHeight="1">
      <c r="A193" s="56">
        <v>45481</v>
      </c>
      <c r="B193" t="s" s="57">
        <v>21</v>
      </c>
      <c r="C193" t="s" s="57">
        <v>84</v>
      </c>
      <c r="D193" t="s" s="57">
        <v>17</v>
      </c>
      <c r="E193" s="58">
        <v>11</v>
      </c>
      <c r="F193" s="59">
        <v>28666</v>
      </c>
      <c r="G193" s="59" cm="1">
        <f t="array" ref="G193">E193*F193</f>
        <v>315326</v>
      </c>
      <c r="H193" s="58" cm="1">
        <f t="array" ref="H193">YEAR(A193)</f>
        <v>2024</v>
      </c>
      <c r="I193" t="str" s="60" cm="1">
        <f t="array" ref="I193">"Q"&amp;ROUNDUP(MONTH(A193)/3,0)</f>
        <v>Q3</v>
      </c>
      <c r="J193" t="s" s="57">
        <v>36</v>
      </c>
    </row>
    <row r="194" ht="13.55" customHeight="1">
      <c r="A194" s="51">
        <v>45481</v>
      </c>
      <c r="B194" t="s" s="52">
        <v>20</v>
      </c>
      <c r="C194" t="s" s="52">
        <v>81</v>
      </c>
      <c r="D194" t="s" s="52">
        <v>18</v>
      </c>
      <c r="E194" s="53">
        <v>11</v>
      </c>
      <c r="F194" s="54">
        <v>37093</v>
      </c>
      <c r="G194" s="54" cm="1">
        <f t="array" ref="G194">E194*F194</f>
        <v>408023</v>
      </c>
      <c r="H194" s="53" cm="1">
        <f t="array" ref="H194">YEAR(A194)</f>
        <v>2024</v>
      </c>
      <c r="I194" t="str" s="55" cm="1">
        <f t="array" ref="I194">"Q"&amp;ROUNDUP(MONTH(A194)/3,0)</f>
        <v>Q3</v>
      </c>
      <c r="J194" t="s" s="52">
        <v>36</v>
      </c>
    </row>
    <row r="195" ht="13.55" customHeight="1">
      <c r="A195" s="56">
        <v>45482</v>
      </c>
      <c r="B195" t="s" s="57">
        <v>23</v>
      </c>
      <c r="C195" t="s" s="57">
        <v>78</v>
      </c>
      <c r="D195" t="s" s="57">
        <v>15</v>
      </c>
      <c r="E195" s="58">
        <v>8</v>
      </c>
      <c r="F195" s="59">
        <v>58535</v>
      </c>
      <c r="G195" s="59" cm="1">
        <f t="array" ref="G195">E195*F195</f>
        <v>468280</v>
      </c>
      <c r="H195" s="58" cm="1">
        <f t="array" ref="H195">YEAR(A195)</f>
        <v>2024</v>
      </c>
      <c r="I195" t="str" s="60" cm="1">
        <f t="array" ref="I195">"Q"&amp;ROUNDUP(MONTH(A195)/3,0)</f>
        <v>Q3</v>
      </c>
      <c r="J195" t="s" s="57">
        <v>36</v>
      </c>
    </row>
    <row r="196" ht="13.55" customHeight="1">
      <c r="A196" s="51">
        <v>45482</v>
      </c>
      <c r="B196" t="s" s="52">
        <v>23</v>
      </c>
      <c r="C196" t="s" s="52">
        <v>80</v>
      </c>
      <c r="D196" t="s" s="52">
        <v>15</v>
      </c>
      <c r="E196" s="53">
        <v>7</v>
      </c>
      <c r="F196" s="54">
        <v>52111</v>
      </c>
      <c r="G196" s="54" cm="1">
        <f t="array" ref="G196">E196*F196</f>
        <v>364777</v>
      </c>
      <c r="H196" s="53" cm="1">
        <f t="array" ref="H196">YEAR(A196)</f>
        <v>2024</v>
      </c>
      <c r="I196" t="str" s="55" cm="1">
        <f t="array" ref="I196">"Q"&amp;ROUNDUP(MONTH(A196)/3,0)</f>
        <v>Q3</v>
      </c>
      <c r="J196" t="s" s="52">
        <v>36</v>
      </c>
    </row>
    <row r="197" ht="13.55" customHeight="1">
      <c r="A197" s="56">
        <v>45483</v>
      </c>
      <c r="B197" t="s" s="57">
        <v>20</v>
      </c>
      <c r="C197" t="s" s="57">
        <v>82</v>
      </c>
      <c r="D197" t="s" s="57">
        <v>16</v>
      </c>
      <c r="E197" s="58">
        <v>3</v>
      </c>
      <c r="F197" s="59">
        <v>49386</v>
      </c>
      <c r="G197" s="59" cm="1">
        <f t="array" ref="G197">E197*F197</f>
        <v>148158</v>
      </c>
      <c r="H197" s="58" cm="1">
        <f t="array" ref="H197">YEAR(A197)</f>
        <v>2024</v>
      </c>
      <c r="I197" t="str" s="60" cm="1">
        <f t="array" ref="I197">"Q"&amp;ROUNDUP(MONTH(A197)/3,0)</f>
        <v>Q3</v>
      </c>
      <c r="J197" t="s" s="57">
        <v>36</v>
      </c>
    </row>
    <row r="198" ht="13.55" customHeight="1">
      <c r="A198" s="51">
        <v>45483</v>
      </c>
      <c r="B198" t="s" s="52">
        <v>23</v>
      </c>
      <c r="C198" t="s" s="52">
        <v>78</v>
      </c>
      <c r="D198" t="s" s="52">
        <v>17</v>
      </c>
      <c r="E198" s="53">
        <v>18</v>
      </c>
      <c r="F198" s="54">
        <v>33054</v>
      </c>
      <c r="G198" s="54" cm="1">
        <f t="array" ref="G198">E198*F198</f>
        <v>594972</v>
      </c>
      <c r="H198" s="53" cm="1">
        <f t="array" ref="H198">YEAR(A198)</f>
        <v>2024</v>
      </c>
      <c r="I198" t="str" s="55" cm="1">
        <f t="array" ref="I198">"Q"&amp;ROUNDUP(MONTH(A198)/3,0)</f>
        <v>Q3</v>
      </c>
      <c r="J198" t="s" s="52">
        <v>36</v>
      </c>
    </row>
    <row r="199" ht="13.55" customHeight="1">
      <c r="A199" s="56">
        <v>45483</v>
      </c>
      <c r="B199" t="s" s="57">
        <v>23</v>
      </c>
      <c r="C199" t="s" s="57">
        <v>80</v>
      </c>
      <c r="D199" t="s" s="57">
        <v>15</v>
      </c>
      <c r="E199" s="58">
        <v>2</v>
      </c>
      <c r="F199" s="59">
        <v>30917</v>
      </c>
      <c r="G199" s="59" cm="1">
        <f t="array" ref="G199">E199*F199</f>
        <v>61834</v>
      </c>
      <c r="H199" s="58" cm="1">
        <f t="array" ref="H199">YEAR(A199)</f>
        <v>2024</v>
      </c>
      <c r="I199" t="str" s="60" cm="1">
        <f t="array" ref="I199">"Q"&amp;ROUNDUP(MONTH(A199)/3,0)</f>
        <v>Q3</v>
      </c>
      <c r="J199" t="s" s="57">
        <v>36</v>
      </c>
    </row>
    <row r="200" ht="13.55" customHeight="1">
      <c r="A200" s="51">
        <v>45485</v>
      </c>
      <c r="B200" t="s" s="52">
        <v>23</v>
      </c>
      <c r="C200" t="s" s="52">
        <v>83</v>
      </c>
      <c r="D200" t="s" s="52">
        <v>16</v>
      </c>
      <c r="E200" s="53">
        <v>8</v>
      </c>
      <c r="F200" s="54">
        <v>30105</v>
      </c>
      <c r="G200" s="54" cm="1">
        <f t="array" ref="G200">E200*F200</f>
        <v>240840</v>
      </c>
      <c r="H200" s="53" cm="1">
        <f t="array" ref="H200">YEAR(A200)</f>
        <v>2024</v>
      </c>
      <c r="I200" t="str" s="55" cm="1">
        <f t="array" ref="I200">"Q"&amp;ROUNDUP(MONTH(A200)/3,0)</f>
        <v>Q3</v>
      </c>
      <c r="J200" t="s" s="52">
        <v>36</v>
      </c>
    </row>
    <row r="201" ht="13.55" customHeight="1">
      <c r="A201" s="56">
        <v>45486</v>
      </c>
      <c r="B201" t="s" s="57">
        <v>20</v>
      </c>
      <c r="C201" t="s" s="57">
        <v>83</v>
      </c>
      <c r="D201" t="s" s="57">
        <v>17</v>
      </c>
      <c r="E201" s="58">
        <v>9</v>
      </c>
      <c r="F201" s="59">
        <v>49535</v>
      </c>
      <c r="G201" s="59" cm="1">
        <f t="array" ref="G201">E201*F201</f>
        <v>445815</v>
      </c>
      <c r="H201" s="58" cm="1">
        <f t="array" ref="H201">YEAR(A201)</f>
        <v>2024</v>
      </c>
      <c r="I201" t="str" s="60" cm="1">
        <f t="array" ref="I201">"Q"&amp;ROUNDUP(MONTH(A201)/3,0)</f>
        <v>Q3</v>
      </c>
      <c r="J201" t="s" s="57">
        <v>36</v>
      </c>
    </row>
    <row r="202" ht="13.55" customHeight="1">
      <c r="A202" s="51">
        <v>45487</v>
      </c>
      <c r="B202" t="s" s="52">
        <v>20</v>
      </c>
      <c r="C202" t="s" s="52">
        <v>82</v>
      </c>
      <c r="D202" t="s" s="52">
        <v>17</v>
      </c>
      <c r="E202" s="53">
        <v>1</v>
      </c>
      <c r="F202" s="54">
        <v>74327</v>
      </c>
      <c r="G202" s="54" cm="1">
        <f t="array" ref="G202">E202*F202</f>
        <v>74327</v>
      </c>
      <c r="H202" s="53" cm="1">
        <f t="array" ref="H202">YEAR(A202)</f>
        <v>2024</v>
      </c>
      <c r="I202" t="str" s="55" cm="1">
        <f t="array" ref="I202">"Q"&amp;ROUNDUP(MONTH(A202)/3,0)</f>
        <v>Q3</v>
      </c>
      <c r="J202" t="s" s="52">
        <v>36</v>
      </c>
    </row>
    <row r="203" ht="13.55" customHeight="1">
      <c r="A203" s="56">
        <v>45487</v>
      </c>
      <c r="B203" t="s" s="57">
        <v>21</v>
      </c>
      <c r="C203" t="s" s="57">
        <v>81</v>
      </c>
      <c r="D203" t="s" s="57">
        <v>18</v>
      </c>
      <c r="E203" s="58">
        <v>12</v>
      </c>
      <c r="F203" s="59">
        <v>20408</v>
      </c>
      <c r="G203" s="59" cm="1">
        <f t="array" ref="G203">E203*F203</f>
        <v>244896</v>
      </c>
      <c r="H203" s="58" cm="1">
        <f t="array" ref="H203">YEAR(A203)</f>
        <v>2024</v>
      </c>
      <c r="I203" t="str" s="60" cm="1">
        <f t="array" ref="I203">"Q"&amp;ROUNDUP(MONTH(A203)/3,0)</f>
        <v>Q3</v>
      </c>
      <c r="J203" t="s" s="57">
        <v>36</v>
      </c>
    </row>
    <row r="204" ht="13.55" customHeight="1">
      <c r="A204" s="51">
        <v>45489</v>
      </c>
      <c r="B204" t="s" s="52">
        <v>20</v>
      </c>
      <c r="C204" t="s" s="52">
        <v>78</v>
      </c>
      <c r="D204" t="s" s="52">
        <v>15</v>
      </c>
      <c r="E204" s="53">
        <v>15</v>
      </c>
      <c r="F204" s="54">
        <v>7382</v>
      </c>
      <c r="G204" s="54" cm="1">
        <f t="array" ref="G204">E204*F204</f>
        <v>110730</v>
      </c>
      <c r="H204" s="53" cm="1">
        <f t="array" ref="H204">YEAR(A204)</f>
        <v>2024</v>
      </c>
      <c r="I204" t="str" s="55" cm="1">
        <f t="array" ref="I204">"Q"&amp;ROUNDUP(MONTH(A204)/3,0)</f>
        <v>Q3</v>
      </c>
      <c r="J204" t="s" s="52">
        <v>36</v>
      </c>
    </row>
    <row r="205" ht="13.55" customHeight="1">
      <c r="A205" s="56">
        <v>45492</v>
      </c>
      <c r="B205" t="s" s="57">
        <v>23</v>
      </c>
      <c r="C205" t="s" s="57">
        <v>84</v>
      </c>
      <c r="D205" t="s" s="57">
        <v>15</v>
      </c>
      <c r="E205" s="58">
        <v>9</v>
      </c>
      <c r="F205" s="59">
        <v>50095</v>
      </c>
      <c r="G205" s="59" cm="1">
        <f t="array" ref="G205">E205*F205</f>
        <v>450855</v>
      </c>
      <c r="H205" s="58" cm="1">
        <f t="array" ref="H205">YEAR(A205)</f>
        <v>2024</v>
      </c>
      <c r="I205" t="str" s="60" cm="1">
        <f t="array" ref="I205">"Q"&amp;ROUNDUP(MONTH(A205)/3,0)</f>
        <v>Q3</v>
      </c>
      <c r="J205" t="s" s="57">
        <v>36</v>
      </c>
    </row>
    <row r="206" ht="13.55" customHeight="1">
      <c r="A206" s="51">
        <v>45492</v>
      </c>
      <c r="B206" t="s" s="52">
        <v>23</v>
      </c>
      <c r="C206" t="s" s="52">
        <v>81</v>
      </c>
      <c r="D206" t="s" s="52">
        <v>18</v>
      </c>
      <c r="E206" s="53">
        <v>8</v>
      </c>
      <c r="F206" s="54">
        <v>55113</v>
      </c>
      <c r="G206" s="54" cm="1">
        <f t="array" ref="G206">E206*F206</f>
        <v>440904</v>
      </c>
      <c r="H206" s="53" cm="1">
        <f t="array" ref="H206">YEAR(A206)</f>
        <v>2024</v>
      </c>
      <c r="I206" t="str" s="55" cm="1">
        <f t="array" ref="I206">"Q"&amp;ROUNDUP(MONTH(A206)/3,0)</f>
        <v>Q3</v>
      </c>
      <c r="J206" t="s" s="52">
        <v>36</v>
      </c>
    </row>
    <row r="207" ht="13.55" customHeight="1">
      <c r="A207" s="56">
        <v>45492</v>
      </c>
      <c r="B207" t="s" s="57">
        <v>23</v>
      </c>
      <c r="C207" t="s" s="57">
        <v>84</v>
      </c>
      <c r="D207" t="s" s="57">
        <v>18</v>
      </c>
      <c r="E207" s="58">
        <v>9</v>
      </c>
      <c r="F207" s="59">
        <v>59122</v>
      </c>
      <c r="G207" s="59" cm="1">
        <f t="array" ref="G207">E207*F207</f>
        <v>532098</v>
      </c>
      <c r="H207" s="58" cm="1">
        <f t="array" ref="H207">YEAR(A207)</f>
        <v>2024</v>
      </c>
      <c r="I207" t="str" s="60" cm="1">
        <f t="array" ref="I207">"Q"&amp;ROUNDUP(MONTH(A207)/3,0)</f>
        <v>Q3</v>
      </c>
      <c r="J207" t="s" s="57">
        <v>36</v>
      </c>
    </row>
    <row r="208" ht="13.55" customHeight="1">
      <c r="A208" s="51">
        <v>45493</v>
      </c>
      <c r="B208" t="s" s="52">
        <v>21</v>
      </c>
      <c r="C208" t="s" s="52">
        <v>84</v>
      </c>
      <c r="D208" t="s" s="52">
        <v>17</v>
      </c>
      <c r="E208" s="53">
        <v>14</v>
      </c>
      <c r="F208" s="54">
        <v>6134</v>
      </c>
      <c r="G208" s="54" cm="1">
        <f t="array" ref="G208">E208*F208</f>
        <v>85876</v>
      </c>
      <c r="H208" s="53" cm="1">
        <f t="array" ref="H208">YEAR(A208)</f>
        <v>2024</v>
      </c>
      <c r="I208" t="str" s="55" cm="1">
        <f t="array" ref="I208">"Q"&amp;ROUNDUP(MONTH(A208)/3,0)</f>
        <v>Q3</v>
      </c>
      <c r="J208" t="s" s="52">
        <v>36</v>
      </c>
    </row>
    <row r="209" ht="13.55" customHeight="1">
      <c r="A209" s="56">
        <v>45494</v>
      </c>
      <c r="B209" t="s" s="57">
        <v>23</v>
      </c>
      <c r="C209" t="s" s="57">
        <v>83</v>
      </c>
      <c r="D209" t="s" s="57">
        <v>15</v>
      </c>
      <c r="E209" s="58">
        <v>5</v>
      </c>
      <c r="F209" s="59">
        <v>7763</v>
      </c>
      <c r="G209" s="59" cm="1">
        <f t="array" ref="G209">E209*F209</f>
        <v>38815</v>
      </c>
      <c r="H209" s="58" cm="1">
        <f t="array" ref="H209">YEAR(A209)</f>
        <v>2024</v>
      </c>
      <c r="I209" t="str" s="60" cm="1">
        <f t="array" ref="I209">"Q"&amp;ROUNDUP(MONTH(A209)/3,0)</f>
        <v>Q3</v>
      </c>
      <c r="J209" t="s" s="57">
        <v>36</v>
      </c>
    </row>
    <row r="210" ht="13.55" customHeight="1">
      <c r="A210" s="51">
        <v>45494</v>
      </c>
      <c r="B210" t="s" s="52">
        <v>22</v>
      </c>
      <c r="C210" t="s" s="52">
        <v>83</v>
      </c>
      <c r="D210" t="s" s="52">
        <v>18</v>
      </c>
      <c r="E210" s="53">
        <v>19</v>
      </c>
      <c r="F210" s="54">
        <v>49036</v>
      </c>
      <c r="G210" s="54" cm="1">
        <f t="array" ref="G210">E210*F210</f>
        <v>931684</v>
      </c>
      <c r="H210" s="53" cm="1">
        <f t="array" ref="H210">YEAR(A210)</f>
        <v>2024</v>
      </c>
      <c r="I210" t="str" s="55" cm="1">
        <f t="array" ref="I210">"Q"&amp;ROUNDUP(MONTH(A210)/3,0)</f>
        <v>Q3</v>
      </c>
      <c r="J210" t="s" s="52">
        <v>36</v>
      </c>
    </row>
    <row r="211" ht="13.55" customHeight="1">
      <c r="A211" s="56">
        <v>45495</v>
      </c>
      <c r="B211" t="s" s="57">
        <v>20</v>
      </c>
      <c r="C211" t="s" s="57">
        <v>83</v>
      </c>
      <c r="D211" t="s" s="57">
        <v>15</v>
      </c>
      <c r="E211" s="58">
        <v>16</v>
      </c>
      <c r="F211" s="59">
        <v>38037</v>
      </c>
      <c r="G211" s="59" cm="1">
        <f t="array" ref="G211">E211*F211</f>
        <v>608592</v>
      </c>
      <c r="H211" s="58" cm="1">
        <f t="array" ref="H211">YEAR(A211)</f>
        <v>2024</v>
      </c>
      <c r="I211" t="str" s="60" cm="1">
        <f t="array" ref="I211">"Q"&amp;ROUNDUP(MONTH(A211)/3,0)</f>
        <v>Q3</v>
      </c>
      <c r="J211" t="s" s="57">
        <v>36</v>
      </c>
    </row>
    <row r="212" ht="13.55" customHeight="1">
      <c r="A212" s="51">
        <v>45497</v>
      </c>
      <c r="B212" t="s" s="52">
        <v>23</v>
      </c>
      <c r="C212" t="s" s="52">
        <v>81</v>
      </c>
      <c r="D212" t="s" s="52">
        <v>17</v>
      </c>
      <c r="E212" s="53">
        <v>16</v>
      </c>
      <c r="F212" s="54">
        <v>75821</v>
      </c>
      <c r="G212" s="54" cm="1">
        <f t="array" ref="G212">E212*F212</f>
        <v>1213136</v>
      </c>
      <c r="H212" s="53" cm="1">
        <f t="array" ref="H212">YEAR(A212)</f>
        <v>2024</v>
      </c>
      <c r="I212" t="str" s="55" cm="1">
        <f t="array" ref="I212">"Q"&amp;ROUNDUP(MONTH(A212)/3,0)</f>
        <v>Q3</v>
      </c>
      <c r="J212" t="s" s="52">
        <v>36</v>
      </c>
    </row>
    <row r="213" ht="13.55" customHeight="1">
      <c r="A213" s="56">
        <v>45498</v>
      </c>
      <c r="B213" t="s" s="57">
        <v>20</v>
      </c>
      <c r="C213" t="s" s="57">
        <v>83</v>
      </c>
      <c r="D213" t="s" s="57">
        <v>15</v>
      </c>
      <c r="E213" s="58">
        <v>14</v>
      </c>
      <c r="F213" s="59">
        <v>19387</v>
      </c>
      <c r="G213" s="59" cm="1">
        <f t="array" ref="G213">E213*F213</f>
        <v>271418</v>
      </c>
      <c r="H213" s="58" cm="1">
        <f t="array" ref="H213">YEAR(A213)</f>
        <v>2024</v>
      </c>
      <c r="I213" t="str" s="60" cm="1">
        <f t="array" ref="I213">"Q"&amp;ROUNDUP(MONTH(A213)/3,0)</f>
        <v>Q3</v>
      </c>
      <c r="J213" t="s" s="57">
        <v>36</v>
      </c>
    </row>
    <row r="214" ht="13.55" customHeight="1">
      <c r="A214" s="51">
        <v>45499</v>
      </c>
      <c r="B214" t="s" s="52">
        <v>22</v>
      </c>
      <c r="C214" t="s" s="52">
        <v>83</v>
      </c>
      <c r="D214" t="s" s="52">
        <v>15</v>
      </c>
      <c r="E214" s="53">
        <v>12</v>
      </c>
      <c r="F214" s="54">
        <v>48307</v>
      </c>
      <c r="G214" s="54" cm="1">
        <f t="array" ref="G214">E214*F214</f>
        <v>579684</v>
      </c>
      <c r="H214" s="53" cm="1">
        <f t="array" ref="H214">YEAR(A214)</f>
        <v>2024</v>
      </c>
      <c r="I214" t="str" s="55" cm="1">
        <f t="array" ref="I214">"Q"&amp;ROUNDUP(MONTH(A214)/3,0)</f>
        <v>Q3</v>
      </c>
      <c r="J214" t="s" s="52">
        <v>36</v>
      </c>
    </row>
    <row r="215" ht="13.55" customHeight="1">
      <c r="A215" s="56">
        <v>45504</v>
      </c>
      <c r="B215" t="s" s="57">
        <v>23</v>
      </c>
      <c r="C215" t="s" s="57">
        <v>84</v>
      </c>
      <c r="D215" t="s" s="57">
        <v>16</v>
      </c>
      <c r="E215" s="58">
        <v>1</v>
      </c>
      <c r="F215" s="59">
        <v>29366</v>
      </c>
      <c r="G215" s="59" cm="1">
        <f t="array" ref="G215">E215*F215</f>
        <v>29366</v>
      </c>
      <c r="H215" s="58" cm="1">
        <f t="array" ref="H215">YEAR(A215)</f>
        <v>2024</v>
      </c>
      <c r="I215" t="str" s="60" cm="1">
        <f t="array" ref="I215">"Q"&amp;ROUNDUP(MONTH(A215)/3,0)</f>
        <v>Q3</v>
      </c>
      <c r="J215" t="s" s="57">
        <v>36</v>
      </c>
    </row>
    <row r="216" ht="13.55" customHeight="1">
      <c r="A216" s="51">
        <v>45506</v>
      </c>
      <c r="B216" t="s" s="52">
        <v>21</v>
      </c>
      <c r="C216" t="s" s="52">
        <v>80</v>
      </c>
      <c r="D216" t="s" s="52">
        <v>16</v>
      </c>
      <c r="E216" s="53">
        <v>2</v>
      </c>
      <c r="F216" s="54">
        <v>34523</v>
      </c>
      <c r="G216" s="54" cm="1">
        <f t="array" ref="G216">E216*F216</f>
        <v>69046</v>
      </c>
      <c r="H216" s="53" cm="1">
        <f t="array" ref="H216">YEAR(A216)</f>
        <v>2024</v>
      </c>
      <c r="I216" t="str" s="55" cm="1">
        <f t="array" ref="I216">"Q"&amp;ROUNDUP(MONTH(A216)/3,0)</f>
        <v>Q3</v>
      </c>
      <c r="J216" t="s" s="52">
        <v>39</v>
      </c>
    </row>
    <row r="217" ht="13.55" customHeight="1">
      <c r="A217" s="56">
        <v>45506</v>
      </c>
      <c r="B217" t="s" s="57">
        <v>22</v>
      </c>
      <c r="C217" t="s" s="57">
        <v>84</v>
      </c>
      <c r="D217" t="s" s="57">
        <v>16</v>
      </c>
      <c r="E217" s="58">
        <v>6</v>
      </c>
      <c r="F217" s="59">
        <v>5887</v>
      </c>
      <c r="G217" s="59" cm="1">
        <f t="array" ref="G217">E217*F217</f>
        <v>35322</v>
      </c>
      <c r="H217" s="58" cm="1">
        <f t="array" ref="H217">YEAR(A217)</f>
        <v>2024</v>
      </c>
      <c r="I217" t="str" s="60" cm="1">
        <f t="array" ref="I217">"Q"&amp;ROUNDUP(MONTH(A217)/3,0)</f>
        <v>Q3</v>
      </c>
      <c r="J217" t="s" s="57">
        <v>39</v>
      </c>
    </row>
    <row r="218" ht="13.55" customHeight="1">
      <c r="A218" s="51">
        <v>45508</v>
      </c>
      <c r="B218" t="s" s="52">
        <v>20</v>
      </c>
      <c r="C218" t="s" s="52">
        <v>81</v>
      </c>
      <c r="D218" t="s" s="52">
        <v>16</v>
      </c>
      <c r="E218" s="53">
        <v>6</v>
      </c>
      <c r="F218" s="54">
        <v>12610</v>
      </c>
      <c r="G218" s="54" cm="1">
        <f t="array" ref="G218">E218*F218</f>
        <v>75660</v>
      </c>
      <c r="H218" s="53" cm="1">
        <f t="array" ref="H218">YEAR(A218)</f>
        <v>2024</v>
      </c>
      <c r="I218" t="str" s="55" cm="1">
        <f t="array" ref="I218">"Q"&amp;ROUNDUP(MONTH(A218)/3,0)</f>
        <v>Q3</v>
      </c>
      <c r="J218" t="s" s="52">
        <v>39</v>
      </c>
    </row>
    <row r="219" ht="13.55" customHeight="1">
      <c r="A219" s="56">
        <v>45508</v>
      </c>
      <c r="B219" t="s" s="57">
        <v>20</v>
      </c>
      <c r="C219" t="s" s="57">
        <v>80</v>
      </c>
      <c r="D219" t="s" s="57">
        <v>15</v>
      </c>
      <c r="E219" s="58">
        <v>8</v>
      </c>
      <c r="F219" s="59">
        <v>66413</v>
      </c>
      <c r="G219" s="59" cm="1">
        <f t="array" ref="G219">E219*F219</f>
        <v>531304</v>
      </c>
      <c r="H219" s="58" cm="1">
        <f t="array" ref="H219">YEAR(A219)</f>
        <v>2024</v>
      </c>
      <c r="I219" t="str" s="60" cm="1">
        <f t="array" ref="I219">"Q"&amp;ROUNDUP(MONTH(A219)/3,0)</f>
        <v>Q3</v>
      </c>
      <c r="J219" t="s" s="57">
        <v>39</v>
      </c>
    </row>
    <row r="220" ht="13.55" customHeight="1">
      <c r="A220" s="51">
        <v>45508</v>
      </c>
      <c r="B220" t="s" s="52">
        <v>22</v>
      </c>
      <c r="C220" t="s" s="52">
        <v>82</v>
      </c>
      <c r="D220" t="s" s="52">
        <v>15</v>
      </c>
      <c r="E220" s="53">
        <v>8</v>
      </c>
      <c r="F220" s="54">
        <v>60161</v>
      </c>
      <c r="G220" s="54" cm="1">
        <f t="array" ref="G220">E220*F220</f>
        <v>481288</v>
      </c>
      <c r="H220" s="53" cm="1">
        <f t="array" ref="H220">YEAR(A220)</f>
        <v>2024</v>
      </c>
      <c r="I220" t="str" s="55" cm="1">
        <f t="array" ref="I220">"Q"&amp;ROUNDUP(MONTH(A220)/3,0)</f>
        <v>Q3</v>
      </c>
      <c r="J220" t="s" s="52">
        <v>39</v>
      </c>
    </row>
    <row r="221" ht="13.55" customHeight="1">
      <c r="A221" s="56">
        <v>45509</v>
      </c>
      <c r="B221" t="s" s="57">
        <v>20</v>
      </c>
      <c r="C221" t="s" s="57">
        <v>83</v>
      </c>
      <c r="D221" t="s" s="57">
        <v>16</v>
      </c>
      <c r="E221" s="58">
        <v>11</v>
      </c>
      <c r="F221" s="59">
        <v>25789</v>
      </c>
      <c r="G221" s="59" cm="1">
        <f t="array" ref="G221">E221*F221</f>
        <v>283679</v>
      </c>
      <c r="H221" s="58" cm="1">
        <f t="array" ref="H221">YEAR(A221)</f>
        <v>2024</v>
      </c>
      <c r="I221" t="str" s="60" cm="1">
        <f t="array" ref="I221">"Q"&amp;ROUNDUP(MONTH(A221)/3,0)</f>
        <v>Q3</v>
      </c>
      <c r="J221" t="s" s="57">
        <v>39</v>
      </c>
    </row>
    <row r="222" ht="13.55" customHeight="1">
      <c r="A222" s="51">
        <v>45509</v>
      </c>
      <c r="B222" t="s" s="52">
        <v>20</v>
      </c>
      <c r="C222" t="s" s="52">
        <v>80</v>
      </c>
      <c r="D222" t="s" s="52">
        <v>18</v>
      </c>
      <c r="E222" s="53">
        <v>12</v>
      </c>
      <c r="F222" s="54">
        <v>7187</v>
      </c>
      <c r="G222" s="54" cm="1">
        <f t="array" ref="G222">E222*F222</f>
        <v>86244</v>
      </c>
      <c r="H222" s="53" cm="1">
        <f t="array" ref="H222">YEAR(A222)</f>
        <v>2024</v>
      </c>
      <c r="I222" t="str" s="55" cm="1">
        <f t="array" ref="I222">"Q"&amp;ROUNDUP(MONTH(A222)/3,0)</f>
        <v>Q3</v>
      </c>
      <c r="J222" t="s" s="52">
        <v>39</v>
      </c>
    </row>
    <row r="223" ht="13.55" customHeight="1">
      <c r="A223" s="56">
        <v>45511</v>
      </c>
      <c r="B223" t="s" s="57">
        <v>21</v>
      </c>
      <c r="C223" t="s" s="57">
        <v>81</v>
      </c>
      <c r="D223" t="s" s="57">
        <v>15</v>
      </c>
      <c r="E223" s="58">
        <v>1</v>
      </c>
      <c r="F223" s="59">
        <v>48954</v>
      </c>
      <c r="G223" s="59" cm="1">
        <f t="array" ref="G223">E223*F223</f>
        <v>48954</v>
      </c>
      <c r="H223" s="58" cm="1">
        <f t="array" ref="H223">YEAR(A223)</f>
        <v>2024</v>
      </c>
      <c r="I223" t="str" s="60" cm="1">
        <f t="array" ref="I223">"Q"&amp;ROUNDUP(MONTH(A223)/3,0)</f>
        <v>Q3</v>
      </c>
      <c r="J223" t="s" s="57">
        <v>39</v>
      </c>
    </row>
    <row r="224" ht="13.55" customHeight="1">
      <c r="A224" s="51">
        <v>45511</v>
      </c>
      <c r="B224" t="s" s="52">
        <v>22</v>
      </c>
      <c r="C224" t="s" s="52">
        <v>83</v>
      </c>
      <c r="D224" t="s" s="52">
        <v>17</v>
      </c>
      <c r="E224" s="53">
        <v>2</v>
      </c>
      <c r="F224" s="54">
        <v>39700</v>
      </c>
      <c r="G224" s="54" cm="1">
        <f t="array" ref="G224">E224*F224</f>
        <v>79400</v>
      </c>
      <c r="H224" s="53" cm="1">
        <f t="array" ref="H224">YEAR(A224)</f>
        <v>2024</v>
      </c>
      <c r="I224" t="str" s="55" cm="1">
        <f t="array" ref="I224">"Q"&amp;ROUNDUP(MONTH(A224)/3,0)</f>
        <v>Q3</v>
      </c>
      <c r="J224" t="s" s="52">
        <v>39</v>
      </c>
    </row>
    <row r="225" ht="13.55" customHeight="1">
      <c r="A225" s="56">
        <v>45511</v>
      </c>
      <c r="B225" t="s" s="57">
        <v>21</v>
      </c>
      <c r="C225" t="s" s="57">
        <v>78</v>
      </c>
      <c r="D225" t="s" s="57">
        <v>17</v>
      </c>
      <c r="E225" s="58">
        <v>12</v>
      </c>
      <c r="F225" s="59">
        <v>46574</v>
      </c>
      <c r="G225" s="59" cm="1">
        <f t="array" ref="G225">E225*F225</f>
        <v>558888</v>
      </c>
      <c r="H225" s="58" cm="1">
        <f t="array" ref="H225">YEAR(A225)</f>
        <v>2024</v>
      </c>
      <c r="I225" t="str" s="60" cm="1">
        <f t="array" ref="I225">"Q"&amp;ROUNDUP(MONTH(A225)/3,0)</f>
        <v>Q3</v>
      </c>
      <c r="J225" t="s" s="57">
        <v>39</v>
      </c>
    </row>
    <row r="226" ht="13.55" customHeight="1">
      <c r="A226" s="51">
        <v>45511</v>
      </c>
      <c r="B226" t="s" s="52">
        <v>21</v>
      </c>
      <c r="C226" t="s" s="52">
        <v>80</v>
      </c>
      <c r="D226" t="s" s="52">
        <v>15</v>
      </c>
      <c r="E226" s="53">
        <v>13</v>
      </c>
      <c r="F226" s="54">
        <v>15922</v>
      </c>
      <c r="G226" s="54" cm="1">
        <f t="array" ref="G226">E226*F226</f>
        <v>206986</v>
      </c>
      <c r="H226" s="53" cm="1">
        <f t="array" ref="H226">YEAR(A226)</f>
        <v>2024</v>
      </c>
      <c r="I226" t="str" s="55" cm="1">
        <f t="array" ref="I226">"Q"&amp;ROUNDUP(MONTH(A226)/3,0)</f>
        <v>Q3</v>
      </c>
      <c r="J226" t="s" s="52">
        <v>39</v>
      </c>
    </row>
    <row r="227" ht="13.55" customHeight="1">
      <c r="A227" s="56">
        <v>45514</v>
      </c>
      <c r="B227" t="s" s="57">
        <v>22</v>
      </c>
      <c r="C227" t="s" s="57">
        <v>80</v>
      </c>
      <c r="D227" t="s" s="57">
        <v>17</v>
      </c>
      <c r="E227" s="58">
        <v>2</v>
      </c>
      <c r="F227" s="59">
        <v>54850</v>
      </c>
      <c r="G227" s="59" cm="1">
        <f t="array" ref="G227">E227*F227</f>
        <v>109700</v>
      </c>
      <c r="H227" s="58" cm="1">
        <f t="array" ref="H227">YEAR(A227)</f>
        <v>2024</v>
      </c>
      <c r="I227" t="str" s="60" cm="1">
        <f t="array" ref="I227">"Q"&amp;ROUNDUP(MONTH(A227)/3,0)</f>
        <v>Q3</v>
      </c>
      <c r="J227" t="s" s="57">
        <v>39</v>
      </c>
    </row>
    <row r="228" ht="13.55" customHeight="1">
      <c r="A228" s="51">
        <v>45514</v>
      </c>
      <c r="B228" t="s" s="52">
        <v>20</v>
      </c>
      <c r="C228" t="s" s="52">
        <v>81</v>
      </c>
      <c r="D228" t="s" s="52">
        <v>17</v>
      </c>
      <c r="E228" s="53">
        <v>9</v>
      </c>
      <c r="F228" s="54">
        <v>9765</v>
      </c>
      <c r="G228" s="54" cm="1">
        <f t="array" ref="G228">E228*F228</f>
        <v>87885</v>
      </c>
      <c r="H228" s="53" cm="1">
        <f t="array" ref="H228">YEAR(A228)</f>
        <v>2024</v>
      </c>
      <c r="I228" t="str" s="55" cm="1">
        <f t="array" ref="I228">"Q"&amp;ROUNDUP(MONTH(A228)/3,0)</f>
        <v>Q3</v>
      </c>
      <c r="J228" t="s" s="52">
        <v>39</v>
      </c>
    </row>
    <row r="229" ht="13.55" customHeight="1">
      <c r="A229" s="56">
        <v>45516</v>
      </c>
      <c r="B229" t="s" s="57">
        <v>22</v>
      </c>
      <c r="C229" t="s" s="57">
        <v>83</v>
      </c>
      <c r="D229" t="s" s="57">
        <v>16</v>
      </c>
      <c r="E229" s="58">
        <v>5</v>
      </c>
      <c r="F229" s="59">
        <v>54810</v>
      </c>
      <c r="G229" s="59" cm="1">
        <f t="array" ref="G229">E229*F229</f>
        <v>274050</v>
      </c>
      <c r="H229" s="58" cm="1">
        <f t="array" ref="H229">YEAR(A229)</f>
        <v>2024</v>
      </c>
      <c r="I229" t="str" s="60" cm="1">
        <f t="array" ref="I229">"Q"&amp;ROUNDUP(MONTH(A229)/3,0)</f>
        <v>Q3</v>
      </c>
      <c r="J229" t="s" s="57">
        <v>39</v>
      </c>
    </row>
    <row r="230" ht="13.55" customHeight="1">
      <c r="A230" s="51">
        <v>45516</v>
      </c>
      <c r="B230" t="s" s="52">
        <v>22</v>
      </c>
      <c r="C230" t="s" s="52">
        <v>84</v>
      </c>
      <c r="D230" t="s" s="52">
        <v>16</v>
      </c>
      <c r="E230" s="53">
        <v>13</v>
      </c>
      <c r="F230" s="54">
        <v>59935</v>
      </c>
      <c r="G230" s="54" cm="1">
        <f t="array" ref="G230">E230*F230</f>
        <v>779155</v>
      </c>
      <c r="H230" s="53" cm="1">
        <f t="array" ref="H230">YEAR(A230)</f>
        <v>2024</v>
      </c>
      <c r="I230" t="str" s="55" cm="1">
        <f t="array" ref="I230">"Q"&amp;ROUNDUP(MONTH(A230)/3,0)</f>
        <v>Q3</v>
      </c>
      <c r="J230" t="s" s="52">
        <v>39</v>
      </c>
    </row>
    <row r="231" ht="13.55" customHeight="1">
      <c r="A231" s="56">
        <v>45516</v>
      </c>
      <c r="B231" t="s" s="57">
        <v>20</v>
      </c>
      <c r="C231" t="s" s="57">
        <v>80</v>
      </c>
      <c r="D231" t="s" s="57">
        <v>17</v>
      </c>
      <c r="E231" s="58">
        <v>15</v>
      </c>
      <c r="F231" s="59">
        <v>76088</v>
      </c>
      <c r="G231" s="59" cm="1">
        <f t="array" ref="G231">E231*F231</f>
        <v>1141320</v>
      </c>
      <c r="H231" s="58" cm="1">
        <f t="array" ref="H231">YEAR(A231)</f>
        <v>2024</v>
      </c>
      <c r="I231" t="str" s="60" cm="1">
        <f t="array" ref="I231">"Q"&amp;ROUNDUP(MONTH(A231)/3,0)</f>
        <v>Q3</v>
      </c>
      <c r="J231" t="s" s="57">
        <v>39</v>
      </c>
    </row>
    <row r="232" ht="13.55" customHeight="1">
      <c r="A232" s="51">
        <v>45517</v>
      </c>
      <c r="B232" t="s" s="52">
        <v>23</v>
      </c>
      <c r="C232" t="s" s="52">
        <v>84</v>
      </c>
      <c r="D232" t="s" s="52">
        <v>18</v>
      </c>
      <c r="E232" s="53">
        <v>5</v>
      </c>
      <c r="F232" s="54">
        <v>66114</v>
      </c>
      <c r="G232" s="54" cm="1">
        <f t="array" ref="G232">E232*F232</f>
        <v>330570</v>
      </c>
      <c r="H232" s="53" cm="1">
        <f t="array" ref="H232">YEAR(A232)</f>
        <v>2024</v>
      </c>
      <c r="I232" t="str" s="55" cm="1">
        <f t="array" ref="I232">"Q"&amp;ROUNDUP(MONTH(A232)/3,0)</f>
        <v>Q3</v>
      </c>
      <c r="J232" t="s" s="52">
        <v>39</v>
      </c>
    </row>
    <row r="233" ht="13.55" customHeight="1">
      <c r="A233" s="56">
        <v>45518</v>
      </c>
      <c r="B233" t="s" s="57">
        <v>21</v>
      </c>
      <c r="C233" t="s" s="57">
        <v>78</v>
      </c>
      <c r="D233" t="s" s="57">
        <v>17</v>
      </c>
      <c r="E233" s="58">
        <v>4</v>
      </c>
      <c r="F233" s="59">
        <v>52788</v>
      </c>
      <c r="G233" s="59" cm="1">
        <f t="array" ref="G233">E233*F233</f>
        <v>211152</v>
      </c>
      <c r="H233" s="58" cm="1">
        <f t="array" ref="H233">YEAR(A233)</f>
        <v>2024</v>
      </c>
      <c r="I233" t="str" s="60" cm="1">
        <f t="array" ref="I233">"Q"&amp;ROUNDUP(MONTH(A233)/3,0)</f>
        <v>Q3</v>
      </c>
      <c r="J233" t="s" s="57">
        <v>39</v>
      </c>
    </row>
    <row r="234" ht="13.55" customHeight="1">
      <c r="A234" s="51">
        <v>45518</v>
      </c>
      <c r="B234" t="s" s="52">
        <v>20</v>
      </c>
      <c r="C234" t="s" s="52">
        <v>78</v>
      </c>
      <c r="D234" t="s" s="52">
        <v>17</v>
      </c>
      <c r="E234" s="53">
        <v>2</v>
      </c>
      <c r="F234" s="54">
        <v>73154</v>
      </c>
      <c r="G234" s="54" cm="1">
        <f t="array" ref="G234">E234*F234</f>
        <v>146308</v>
      </c>
      <c r="H234" s="53" cm="1">
        <f t="array" ref="H234">YEAR(A234)</f>
        <v>2024</v>
      </c>
      <c r="I234" t="str" s="55" cm="1">
        <f t="array" ref="I234">"Q"&amp;ROUNDUP(MONTH(A234)/3,0)</f>
        <v>Q3</v>
      </c>
      <c r="J234" t="s" s="52">
        <v>39</v>
      </c>
    </row>
    <row r="235" ht="13.55" customHeight="1">
      <c r="A235" s="56">
        <v>45520</v>
      </c>
      <c r="B235" t="s" s="57">
        <v>23</v>
      </c>
      <c r="C235" t="s" s="57">
        <v>78</v>
      </c>
      <c r="D235" t="s" s="57">
        <v>17</v>
      </c>
      <c r="E235" s="58">
        <v>17</v>
      </c>
      <c r="F235" s="59">
        <v>16795</v>
      </c>
      <c r="G235" s="59" cm="1">
        <f t="array" ref="G235">E235*F235</f>
        <v>285515</v>
      </c>
      <c r="H235" s="58" cm="1">
        <f t="array" ref="H235">YEAR(A235)</f>
        <v>2024</v>
      </c>
      <c r="I235" t="str" s="60" cm="1">
        <f t="array" ref="I235">"Q"&amp;ROUNDUP(MONTH(A235)/3,0)</f>
        <v>Q3</v>
      </c>
      <c r="J235" t="s" s="57">
        <v>39</v>
      </c>
    </row>
    <row r="236" ht="13.55" customHeight="1">
      <c r="A236" s="51">
        <v>45521</v>
      </c>
      <c r="B236" t="s" s="52">
        <v>20</v>
      </c>
      <c r="C236" t="s" s="52">
        <v>83</v>
      </c>
      <c r="D236" t="s" s="52">
        <v>18</v>
      </c>
      <c r="E236" s="53">
        <v>15</v>
      </c>
      <c r="F236" s="54">
        <v>28576</v>
      </c>
      <c r="G236" s="54" cm="1">
        <f t="array" ref="G236">E236*F236</f>
        <v>428640</v>
      </c>
      <c r="H236" s="53" cm="1">
        <f t="array" ref="H236">YEAR(A236)</f>
        <v>2024</v>
      </c>
      <c r="I236" t="str" s="55" cm="1">
        <f t="array" ref="I236">"Q"&amp;ROUNDUP(MONTH(A236)/3,0)</f>
        <v>Q3</v>
      </c>
      <c r="J236" t="s" s="52">
        <v>39</v>
      </c>
    </row>
    <row r="237" ht="13.55" customHeight="1">
      <c r="A237" s="56">
        <v>45521</v>
      </c>
      <c r="B237" t="s" s="57">
        <v>23</v>
      </c>
      <c r="C237" t="s" s="57">
        <v>78</v>
      </c>
      <c r="D237" t="s" s="57">
        <v>16</v>
      </c>
      <c r="E237" s="58">
        <v>5</v>
      </c>
      <c r="F237" s="59">
        <v>42228</v>
      </c>
      <c r="G237" s="59" cm="1">
        <f t="array" ref="G237">E237*F237</f>
        <v>211140</v>
      </c>
      <c r="H237" s="58" cm="1">
        <f t="array" ref="H237">YEAR(A237)</f>
        <v>2024</v>
      </c>
      <c r="I237" t="str" s="60" cm="1">
        <f t="array" ref="I237">"Q"&amp;ROUNDUP(MONTH(A237)/3,0)</f>
        <v>Q3</v>
      </c>
      <c r="J237" t="s" s="57">
        <v>39</v>
      </c>
    </row>
    <row r="238" ht="13.55" customHeight="1">
      <c r="A238" s="51">
        <v>45522</v>
      </c>
      <c r="B238" t="s" s="52">
        <v>22</v>
      </c>
      <c r="C238" t="s" s="52">
        <v>80</v>
      </c>
      <c r="D238" t="s" s="52">
        <v>18</v>
      </c>
      <c r="E238" s="53">
        <v>11</v>
      </c>
      <c r="F238" s="54">
        <v>49942</v>
      </c>
      <c r="G238" s="54" cm="1">
        <f t="array" ref="G238">E238*F238</f>
        <v>549362</v>
      </c>
      <c r="H238" s="53" cm="1">
        <f t="array" ref="H238">YEAR(A238)</f>
        <v>2024</v>
      </c>
      <c r="I238" t="str" s="55" cm="1">
        <f t="array" ref="I238">"Q"&amp;ROUNDUP(MONTH(A238)/3,0)</f>
        <v>Q3</v>
      </c>
      <c r="J238" t="s" s="52">
        <v>39</v>
      </c>
    </row>
    <row r="239" ht="13.55" customHeight="1">
      <c r="A239" s="56">
        <v>45522</v>
      </c>
      <c r="B239" t="s" s="57">
        <v>20</v>
      </c>
      <c r="C239" t="s" s="57">
        <v>84</v>
      </c>
      <c r="D239" t="s" s="57">
        <v>15</v>
      </c>
      <c r="E239" s="58">
        <v>1</v>
      </c>
      <c r="F239" s="59">
        <v>21322</v>
      </c>
      <c r="G239" s="59" cm="1">
        <f t="array" ref="G239">E239*F239</f>
        <v>21322</v>
      </c>
      <c r="H239" s="58" cm="1">
        <f t="array" ref="H239">YEAR(A239)</f>
        <v>2024</v>
      </c>
      <c r="I239" t="str" s="60" cm="1">
        <f t="array" ref="I239">"Q"&amp;ROUNDUP(MONTH(A239)/3,0)</f>
        <v>Q3</v>
      </c>
      <c r="J239" t="s" s="57">
        <v>39</v>
      </c>
    </row>
    <row r="240" ht="13.55" customHeight="1">
      <c r="A240" s="51">
        <v>45522</v>
      </c>
      <c r="B240" t="s" s="52">
        <v>22</v>
      </c>
      <c r="C240" t="s" s="52">
        <v>78</v>
      </c>
      <c r="D240" t="s" s="52">
        <v>18</v>
      </c>
      <c r="E240" s="53">
        <v>17</v>
      </c>
      <c r="F240" s="54">
        <v>51218</v>
      </c>
      <c r="G240" s="54" cm="1">
        <f t="array" ref="G240">E240*F240</f>
        <v>870706</v>
      </c>
      <c r="H240" s="53" cm="1">
        <f t="array" ref="H240">YEAR(A240)</f>
        <v>2024</v>
      </c>
      <c r="I240" t="str" s="55" cm="1">
        <f t="array" ref="I240">"Q"&amp;ROUNDUP(MONTH(A240)/3,0)</f>
        <v>Q3</v>
      </c>
      <c r="J240" t="s" s="52">
        <v>39</v>
      </c>
    </row>
    <row r="241" ht="13.55" customHeight="1">
      <c r="A241" s="56">
        <v>45524</v>
      </c>
      <c r="B241" t="s" s="57">
        <v>20</v>
      </c>
      <c r="C241" t="s" s="57">
        <v>82</v>
      </c>
      <c r="D241" t="s" s="57">
        <v>15</v>
      </c>
      <c r="E241" s="58">
        <v>4</v>
      </c>
      <c r="F241" s="59">
        <v>5192</v>
      </c>
      <c r="G241" s="59" cm="1">
        <f t="array" ref="G241">E241*F241</f>
        <v>20768</v>
      </c>
      <c r="H241" s="58" cm="1">
        <f t="array" ref="H241">YEAR(A241)</f>
        <v>2024</v>
      </c>
      <c r="I241" t="str" s="60" cm="1">
        <f t="array" ref="I241">"Q"&amp;ROUNDUP(MONTH(A241)/3,0)</f>
        <v>Q3</v>
      </c>
      <c r="J241" t="s" s="57">
        <v>39</v>
      </c>
    </row>
    <row r="242" ht="13.55" customHeight="1">
      <c r="A242" s="51">
        <v>45524</v>
      </c>
      <c r="B242" t="s" s="52">
        <v>20</v>
      </c>
      <c r="C242" t="s" s="52">
        <v>81</v>
      </c>
      <c r="D242" t="s" s="52">
        <v>15</v>
      </c>
      <c r="E242" s="53">
        <v>15</v>
      </c>
      <c r="F242" s="54">
        <v>65294</v>
      </c>
      <c r="G242" s="54" cm="1">
        <f t="array" ref="G242">E242*F242</f>
        <v>979410</v>
      </c>
      <c r="H242" s="53" cm="1">
        <f t="array" ref="H242">YEAR(A242)</f>
        <v>2024</v>
      </c>
      <c r="I242" t="str" s="55" cm="1">
        <f t="array" ref="I242">"Q"&amp;ROUNDUP(MONTH(A242)/3,0)</f>
        <v>Q3</v>
      </c>
      <c r="J242" t="s" s="52">
        <v>39</v>
      </c>
    </row>
    <row r="243" ht="13.55" customHeight="1">
      <c r="A243" s="56">
        <v>45524</v>
      </c>
      <c r="B243" t="s" s="57">
        <v>21</v>
      </c>
      <c r="C243" t="s" s="57">
        <v>84</v>
      </c>
      <c r="D243" t="s" s="57">
        <v>15</v>
      </c>
      <c r="E243" s="58">
        <v>19</v>
      </c>
      <c r="F243" s="59">
        <v>15625</v>
      </c>
      <c r="G243" s="59" cm="1">
        <f t="array" ref="G243">E243*F243</f>
        <v>296875</v>
      </c>
      <c r="H243" s="58" cm="1">
        <f t="array" ref="H243">YEAR(A243)</f>
        <v>2024</v>
      </c>
      <c r="I243" t="str" s="60" cm="1">
        <f t="array" ref="I243">"Q"&amp;ROUNDUP(MONTH(A243)/3,0)</f>
        <v>Q3</v>
      </c>
      <c r="J243" t="s" s="57">
        <v>39</v>
      </c>
    </row>
    <row r="244" ht="13.55" customHeight="1">
      <c r="A244" s="51">
        <v>45524</v>
      </c>
      <c r="B244" t="s" s="52">
        <v>22</v>
      </c>
      <c r="C244" t="s" s="52">
        <v>83</v>
      </c>
      <c r="D244" t="s" s="52">
        <v>16</v>
      </c>
      <c r="E244" s="53">
        <v>2</v>
      </c>
      <c r="F244" s="54">
        <v>37551</v>
      </c>
      <c r="G244" s="54" cm="1">
        <f t="array" ref="G244">E244*F244</f>
        <v>75102</v>
      </c>
      <c r="H244" s="53" cm="1">
        <f t="array" ref="H244">YEAR(A244)</f>
        <v>2024</v>
      </c>
      <c r="I244" t="str" s="55" cm="1">
        <f t="array" ref="I244">"Q"&amp;ROUNDUP(MONTH(A244)/3,0)</f>
        <v>Q3</v>
      </c>
      <c r="J244" t="s" s="52">
        <v>39</v>
      </c>
    </row>
    <row r="245" ht="13.55" customHeight="1">
      <c r="A245" s="56">
        <v>45525</v>
      </c>
      <c r="B245" t="s" s="57">
        <v>22</v>
      </c>
      <c r="C245" t="s" s="57">
        <v>82</v>
      </c>
      <c r="D245" t="s" s="57">
        <v>18</v>
      </c>
      <c r="E245" s="58">
        <v>8</v>
      </c>
      <c r="F245" s="59">
        <v>75463</v>
      </c>
      <c r="G245" s="59" cm="1">
        <f t="array" ref="G245">E245*F245</f>
        <v>603704</v>
      </c>
      <c r="H245" s="58" cm="1">
        <f t="array" ref="H245">YEAR(A245)</f>
        <v>2024</v>
      </c>
      <c r="I245" t="str" s="60" cm="1">
        <f t="array" ref="I245">"Q"&amp;ROUNDUP(MONTH(A245)/3,0)</f>
        <v>Q3</v>
      </c>
      <c r="J245" t="s" s="57">
        <v>39</v>
      </c>
    </row>
    <row r="246" ht="13.55" customHeight="1">
      <c r="A246" s="51">
        <v>45526</v>
      </c>
      <c r="B246" t="s" s="52">
        <v>20</v>
      </c>
      <c r="C246" t="s" s="52">
        <v>81</v>
      </c>
      <c r="D246" t="s" s="52">
        <v>17</v>
      </c>
      <c r="E246" s="53">
        <v>9</v>
      </c>
      <c r="F246" s="54">
        <v>71163</v>
      </c>
      <c r="G246" s="54" cm="1">
        <f t="array" ref="G246">E246*F246</f>
        <v>640467</v>
      </c>
      <c r="H246" s="53" cm="1">
        <f t="array" ref="H246">YEAR(A246)</f>
        <v>2024</v>
      </c>
      <c r="I246" t="str" s="55" cm="1">
        <f t="array" ref="I246">"Q"&amp;ROUNDUP(MONTH(A246)/3,0)</f>
        <v>Q3</v>
      </c>
      <c r="J246" t="s" s="52">
        <v>39</v>
      </c>
    </row>
    <row r="247" ht="13.55" customHeight="1">
      <c r="A247" s="56">
        <v>45528</v>
      </c>
      <c r="B247" t="s" s="57">
        <v>21</v>
      </c>
      <c r="C247" t="s" s="57">
        <v>78</v>
      </c>
      <c r="D247" t="s" s="57">
        <v>16</v>
      </c>
      <c r="E247" s="58">
        <v>17</v>
      </c>
      <c r="F247" s="59">
        <v>63870</v>
      </c>
      <c r="G247" s="59" cm="1">
        <f t="array" ref="G247">E247*F247</f>
        <v>1085790</v>
      </c>
      <c r="H247" s="58" cm="1">
        <f t="array" ref="H247">YEAR(A247)</f>
        <v>2024</v>
      </c>
      <c r="I247" t="str" s="60" cm="1">
        <f t="array" ref="I247">"Q"&amp;ROUNDUP(MONTH(A247)/3,0)</f>
        <v>Q3</v>
      </c>
      <c r="J247" t="s" s="57">
        <v>39</v>
      </c>
    </row>
    <row r="248" ht="13.55" customHeight="1">
      <c r="A248" s="51">
        <v>45532</v>
      </c>
      <c r="B248" t="s" s="52">
        <v>21</v>
      </c>
      <c r="C248" t="s" s="52">
        <v>80</v>
      </c>
      <c r="D248" t="s" s="52">
        <v>17</v>
      </c>
      <c r="E248" s="53">
        <v>4</v>
      </c>
      <c r="F248" s="54">
        <v>28408</v>
      </c>
      <c r="G248" s="54" cm="1">
        <f t="array" ref="G248">E248*F248</f>
        <v>113632</v>
      </c>
      <c r="H248" s="53" cm="1">
        <f t="array" ref="H248">YEAR(A248)</f>
        <v>2024</v>
      </c>
      <c r="I248" t="str" s="55" cm="1">
        <f t="array" ref="I248">"Q"&amp;ROUNDUP(MONTH(A248)/3,0)</f>
        <v>Q3</v>
      </c>
      <c r="J248" t="s" s="52">
        <v>39</v>
      </c>
    </row>
    <row r="249" ht="13.55" customHeight="1">
      <c r="A249" s="56">
        <v>45533</v>
      </c>
      <c r="B249" t="s" s="57">
        <v>22</v>
      </c>
      <c r="C249" t="s" s="57">
        <v>82</v>
      </c>
      <c r="D249" t="s" s="57">
        <v>15</v>
      </c>
      <c r="E249" s="58">
        <v>18</v>
      </c>
      <c r="F249" s="59">
        <v>44531</v>
      </c>
      <c r="G249" s="59" cm="1">
        <f t="array" ref="G249">E249*F249</f>
        <v>801558</v>
      </c>
      <c r="H249" s="58" cm="1">
        <f t="array" ref="H249">YEAR(A249)</f>
        <v>2024</v>
      </c>
      <c r="I249" t="str" s="60" cm="1">
        <f t="array" ref="I249">"Q"&amp;ROUNDUP(MONTH(A249)/3,0)</f>
        <v>Q3</v>
      </c>
      <c r="J249" t="s" s="57">
        <v>39</v>
      </c>
    </row>
    <row r="250" ht="13.55" customHeight="1">
      <c r="A250" s="51">
        <v>45533</v>
      </c>
      <c r="B250" t="s" s="52">
        <v>21</v>
      </c>
      <c r="C250" t="s" s="52">
        <v>81</v>
      </c>
      <c r="D250" t="s" s="52">
        <v>15</v>
      </c>
      <c r="E250" s="53">
        <v>4</v>
      </c>
      <c r="F250" s="54">
        <v>53442</v>
      </c>
      <c r="G250" s="54" cm="1">
        <f t="array" ref="G250">E250*F250</f>
        <v>213768</v>
      </c>
      <c r="H250" s="53" cm="1">
        <f t="array" ref="H250">YEAR(A250)</f>
        <v>2024</v>
      </c>
      <c r="I250" t="str" s="55" cm="1">
        <f t="array" ref="I250">"Q"&amp;ROUNDUP(MONTH(A250)/3,0)</f>
        <v>Q3</v>
      </c>
      <c r="J250" t="s" s="52">
        <v>39</v>
      </c>
    </row>
    <row r="251" ht="13.55" customHeight="1">
      <c r="A251" s="56">
        <v>45534</v>
      </c>
      <c r="B251" t="s" s="57">
        <v>22</v>
      </c>
      <c r="C251" t="s" s="57">
        <v>82</v>
      </c>
      <c r="D251" t="s" s="57">
        <v>15</v>
      </c>
      <c r="E251" s="58">
        <v>19</v>
      </c>
      <c r="F251" s="59">
        <v>59316</v>
      </c>
      <c r="G251" s="59" cm="1">
        <f t="array" ref="G251">E251*F251</f>
        <v>1127004</v>
      </c>
      <c r="H251" s="58" cm="1">
        <f t="array" ref="H251">YEAR(A251)</f>
        <v>2024</v>
      </c>
      <c r="I251" t="str" s="60" cm="1">
        <f t="array" ref="I251">"Q"&amp;ROUNDUP(MONTH(A251)/3,0)</f>
        <v>Q3</v>
      </c>
      <c r="J251" t="s" s="57">
        <v>39</v>
      </c>
    </row>
    <row r="252" ht="13.55" customHeight="1">
      <c r="A252" s="51">
        <v>45535</v>
      </c>
      <c r="B252" t="s" s="52">
        <v>20</v>
      </c>
      <c r="C252" t="s" s="52">
        <v>84</v>
      </c>
      <c r="D252" t="s" s="52">
        <v>16</v>
      </c>
      <c r="E252" s="53">
        <v>15</v>
      </c>
      <c r="F252" s="54">
        <v>8849</v>
      </c>
      <c r="G252" s="54" cm="1">
        <f t="array" ref="G252">E252*F252</f>
        <v>132735</v>
      </c>
      <c r="H252" s="53" cm="1">
        <f t="array" ref="H252">YEAR(A252)</f>
        <v>2024</v>
      </c>
      <c r="I252" t="str" s="55" cm="1">
        <f t="array" ref="I252">"Q"&amp;ROUNDUP(MONTH(A252)/3,0)</f>
        <v>Q3</v>
      </c>
      <c r="J252" t="s" s="52">
        <v>39</v>
      </c>
    </row>
    <row r="253" ht="13.55" customHeight="1">
      <c r="A253" s="56">
        <v>45537</v>
      </c>
      <c r="B253" t="s" s="57">
        <v>20</v>
      </c>
      <c r="C253" t="s" s="57">
        <v>82</v>
      </c>
      <c r="D253" t="s" s="57">
        <v>17</v>
      </c>
      <c r="E253" s="58">
        <v>17</v>
      </c>
      <c r="F253" s="59">
        <v>62433</v>
      </c>
      <c r="G253" s="59" cm="1">
        <f t="array" ref="G253">E253*F253</f>
        <v>1061361</v>
      </c>
      <c r="H253" s="58" cm="1">
        <f t="array" ref="H253">YEAR(A253)</f>
        <v>2024</v>
      </c>
      <c r="I253" t="str" s="60" cm="1">
        <f t="array" ref="I253">"Q"&amp;ROUNDUP(MONTH(A253)/3,0)</f>
        <v>Q3</v>
      </c>
      <c r="J253" t="s" s="57">
        <v>42</v>
      </c>
    </row>
    <row r="254" ht="13.55" customHeight="1">
      <c r="A254" s="51">
        <v>45538</v>
      </c>
      <c r="B254" t="s" s="52">
        <v>21</v>
      </c>
      <c r="C254" t="s" s="52">
        <v>84</v>
      </c>
      <c r="D254" t="s" s="52">
        <v>17</v>
      </c>
      <c r="E254" s="53">
        <v>4</v>
      </c>
      <c r="F254" s="54">
        <v>11587</v>
      </c>
      <c r="G254" s="54" cm="1">
        <f t="array" ref="G254">E254*F254</f>
        <v>46348</v>
      </c>
      <c r="H254" s="53" cm="1">
        <f t="array" ref="H254">YEAR(A254)</f>
        <v>2024</v>
      </c>
      <c r="I254" t="str" s="55" cm="1">
        <f t="array" ref="I254">"Q"&amp;ROUNDUP(MONTH(A254)/3,0)</f>
        <v>Q3</v>
      </c>
      <c r="J254" t="s" s="52">
        <v>42</v>
      </c>
    </row>
    <row r="255" ht="13.55" customHeight="1">
      <c r="A255" s="56">
        <v>45538</v>
      </c>
      <c r="B255" t="s" s="57">
        <v>21</v>
      </c>
      <c r="C255" t="s" s="57">
        <v>80</v>
      </c>
      <c r="D255" t="s" s="57">
        <v>18</v>
      </c>
      <c r="E255" s="58">
        <v>15</v>
      </c>
      <c r="F255" s="59">
        <v>46153</v>
      </c>
      <c r="G255" s="59" cm="1">
        <f t="array" ref="G255">E255*F255</f>
        <v>692295</v>
      </c>
      <c r="H255" s="58" cm="1">
        <f t="array" ref="H255">YEAR(A255)</f>
        <v>2024</v>
      </c>
      <c r="I255" t="str" s="60" cm="1">
        <f t="array" ref="I255">"Q"&amp;ROUNDUP(MONTH(A255)/3,0)</f>
        <v>Q3</v>
      </c>
      <c r="J255" t="s" s="57">
        <v>42</v>
      </c>
    </row>
    <row r="256" ht="13.55" customHeight="1">
      <c r="A256" s="51">
        <v>45542</v>
      </c>
      <c r="B256" t="s" s="52">
        <v>23</v>
      </c>
      <c r="C256" t="s" s="52">
        <v>83</v>
      </c>
      <c r="D256" t="s" s="52">
        <v>15</v>
      </c>
      <c r="E256" s="53">
        <v>16</v>
      </c>
      <c r="F256" s="54">
        <v>57227</v>
      </c>
      <c r="G256" s="54" cm="1">
        <f t="array" ref="G256">E256*F256</f>
        <v>915632</v>
      </c>
      <c r="H256" s="53" cm="1">
        <f t="array" ref="H256">YEAR(A256)</f>
        <v>2024</v>
      </c>
      <c r="I256" t="str" s="55" cm="1">
        <f t="array" ref="I256">"Q"&amp;ROUNDUP(MONTH(A256)/3,0)</f>
        <v>Q3</v>
      </c>
      <c r="J256" t="s" s="52">
        <v>42</v>
      </c>
    </row>
    <row r="257" ht="13.55" customHeight="1">
      <c r="A257" s="56">
        <v>45543</v>
      </c>
      <c r="B257" t="s" s="57">
        <v>21</v>
      </c>
      <c r="C257" t="s" s="57">
        <v>82</v>
      </c>
      <c r="D257" t="s" s="57">
        <v>17</v>
      </c>
      <c r="E257" s="58">
        <v>7</v>
      </c>
      <c r="F257" s="59">
        <v>58053</v>
      </c>
      <c r="G257" s="59" cm="1">
        <f t="array" ref="G257">E257*F257</f>
        <v>406371</v>
      </c>
      <c r="H257" s="58" cm="1">
        <f t="array" ref="H257">YEAR(A257)</f>
        <v>2024</v>
      </c>
      <c r="I257" t="str" s="60" cm="1">
        <f t="array" ref="I257">"Q"&amp;ROUNDUP(MONTH(A257)/3,0)</f>
        <v>Q3</v>
      </c>
      <c r="J257" t="s" s="57">
        <v>42</v>
      </c>
    </row>
    <row r="258" ht="13.55" customHeight="1">
      <c r="A258" s="51">
        <v>45543</v>
      </c>
      <c r="B258" t="s" s="52">
        <v>23</v>
      </c>
      <c r="C258" t="s" s="52">
        <v>83</v>
      </c>
      <c r="D258" t="s" s="52">
        <v>15</v>
      </c>
      <c r="E258" s="53">
        <v>3</v>
      </c>
      <c r="F258" s="54">
        <v>25316</v>
      </c>
      <c r="G258" s="54" cm="1">
        <f t="array" ref="G258">E258*F258</f>
        <v>75948</v>
      </c>
      <c r="H258" s="53" cm="1">
        <f t="array" ref="H258">YEAR(A258)</f>
        <v>2024</v>
      </c>
      <c r="I258" t="str" s="55" cm="1">
        <f t="array" ref="I258">"Q"&amp;ROUNDUP(MONTH(A258)/3,0)</f>
        <v>Q3</v>
      </c>
      <c r="J258" t="s" s="52">
        <v>42</v>
      </c>
    </row>
    <row r="259" ht="13.55" customHeight="1">
      <c r="A259" s="56">
        <v>45544</v>
      </c>
      <c r="B259" t="s" s="57">
        <v>20</v>
      </c>
      <c r="C259" t="s" s="57">
        <v>82</v>
      </c>
      <c r="D259" t="s" s="57">
        <v>15</v>
      </c>
      <c r="E259" s="58">
        <v>19</v>
      </c>
      <c r="F259" s="59">
        <v>27625</v>
      </c>
      <c r="G259" s="59" cm="1">
        <f t="array" ref="G259">E259*F259</f>
        <v>524875</v>
      </c>
      <c r="H259" s="58" cm="1">
        <f t="array" ref="H259">YEAR(A259)</f>
        <v>2024</v>
      </c>
      <c r="I259" t="str" s="60" cm="1">
        <f t="array" ref="I259">"Q"&amp;ROUNDUP(MONTH(A259)/3,0)</f>
        <v>Q3</v>
      </c>
      <c r="J259" t="s" s="57">
        <v>42</v>
      </c>
    </row>
    <row r="260" ht="13.55" customHeight="1">
      <c r="A260" s="51">
        <v>45544</v>
      </c>
      <c r="B260" t="s" s="52">
        <v>21</v>
      </c>
      <c r="C260" t="s" s="52">
        <v>82</v>
      </c>
      <c r="D260" t="s" s="52">
        <v>17</v>
      </c>
      <c r="E260" s="53">
        <v>12</v>
      </c>
      <c r="F260" s="54">
        <v>32877</v>
      </c>
      <c r="G260" s="54" cm="1">
        <f t="array" ref="G260">E260*F260</f>
        <v>394524</v>
      </c>
      <c r="H260" s="53" cm="1">
        <f t="array" ref="H260">YEAR(A260)</f>
        <v>2024</v>
      </c>
      <c r="I260" t="str" s="55" cm="1">
        <f t="array" ref="I260">"Q"&amp;ROUNDUP(MONTH(A260)/3,0)</f>
        <v>Q3</v>
      </c>
      <c r="J260" t="s" s="52">
        <v>42</v>
      </c>
    </row>
    <row r="261" ht="13.55" customHeight="1">
      <c r="A261" s="56">
        <v>45544</v>
      </c>
      <c r="B261" t="s" s="57">
        <v>21</v>
      </c>
      <c r="C261" t="s" s="57">
        <v>83</v>
      </c>
      <c r="D261" t="s" s="57">
        <v>16</v>
      </c>
      <c r="E261" s="58">
        <v>14</v>
      </c>
      <c r="F261" s="59">
        <v>35908</v>
      </c>
      <c r="G261" s="59" cm="1">
        <f t="array" ref="G261">E261*F261</f>
        <v>502712</v>
      </c>
      <c r="H261" s="58" cm="1">
        <f t="array" ref="H261">YEAR(A261)</f>
        <v>2024</v>
      </c>
      <c r="I261" t="str" s="60" cm="1">
        <f t="array" ref="I261">"Q"&amp;ROUNDUP(MONTH(A261)/3,0)</f>
        <v>Q3</v>
      </c>
      <c r="J261" t="s" s="57">
        <v>42</v>
      </c>
    </row>
    <row r="262" ht="13.55" customHeight="1">
      <c r="A262" s="51">
        <v>45544</v>
      </c>
      <c r="B262" t="s" s="52">
        <v>22</v>
      </c>
      <c r="C262" t="s" s="52">
        <v>78</v>
      </c>
      <c r="D262" t="s" s="52">
        <v>18</v>
      </c>
      <c r="E262" s="53">
        <v>14</v>
      </c>
      <c r="F262" s="54">
        <v>52764</v>
      </c>
      <c r="G262" s="54" cm="1">
        <f t="array" ref="G262">E262*F262</f>
        <v>738696</v>
      </c>
      <c r="H262" s="53" cm="1">
        <f t="array" ref="H262">YEAR(A262)</f>
        <v>2024</v>
      </c>
      <c r="I262" t="str" s="55" cm="1">
        <f t="array" ref="I262">"Q"&amp;ROUNDUP(MONTH(A262)/3,0)</f>
        <v>Q3</v>
      </c>
      <c r="J262" t="s" s="52">
        <v>42</v>
      </c>
    </row>
    <row r="263" ht="13.55" customHeight="1">
      <c r="A263" s="56">
        <v>45544</v>
      </c>
      <c r="B263" t="s" s="57">
        <v>20</v>
      </c>
      <c r="C263" t="s" s="57">
        <v>81</v>
      </c>
      <c r="D263" t="s" s="57">
        <v>15</v>
      </c>
      <c r="E263" s="58">
        <v>7</v>
      </c>
      <c r="F263" s="59">
        <v>30901</v>
      </c>
      <c r="G263" s="59" cm="1">
        <f t="array" ref="G263">E263*F263</f>
        <v>216307</v>
      </c>
      <c r="H263" s="58" cm="1">
        <f t="array" ref="H263">YEAR(A263)</f>
        <v>2024</v>
      </c>
      <c r="I263" t="str" s="60" cm="1">
        <f t="array" ref="I263">"Q"&amp;ROUNDUP(MONTH(A263)/3,0)</f>
        <v>Q3</v>
      </c>
      <c r="J263" t="s" s="57">
        <v>42</v>
      </c>
    </row>
    <row r="264" ht="13.55" customHeight="1">
      <c r="A264" s="51">
        <v>45545</v>
      </c>
      <c r="B264" t="s" s="52">
        <v>23</v>
      </c>
      <c r="C264" t="s" s="52">
        <v>83</v>
      </c>
      <c r="D264" t="s" s="52">
        <v>18</v>
      </c>
      <c r="E264" s="53">
        <v>9</v>
      </c>
      <c r="F264" s="54">
        <v>55818</v>
      </c>
      <c r="G264" s="54" cm="1">
        <f t="array" ref="G264">E264*F264</f>
        <v>502362</v>
      </c>
      <c r="H264" s="53" cm="1">
        <f t="array" ref="H264">YEAR(A264)</f>
        <v>2024</v>
      </c>
      <c r="I264" t="str" s="55" cm="1">
        <f t="array" ref="I264">"Q"&amp;ROUNDUP(MONTH(A264)/3,0)</f>
        <v>Q3</v>
      </c>
      <c r="J264" t="s" s="52">
        <v>42</v>
      </c>
    </row>
    <row r="265" ht="13.55" customHeight="1">
      <c r="A265" s="56">
        <v>45545</v>
      </c>
      <c r="B265" t="s" s="57">
        <v>23</v>
      </c>
      <c r="C265" t="s" s="57">
        <v>78</v>
      </c>
      <c r="D265" t="s" s="57">
        <v>18</v>
      </c>
      <c r="E265" s="58">
        <v>17</v>
      </c>
      <c r="F265" s="59">
        <v>21999</v>
      </c>
      <c r="G265" s="59" cm="1">
        <f t="array" ref="G265">E265*F265</f>
        <v>373983</v>
      </c>
      <c r="H265" s="58" cm="1">
        <f t="array" ref="H265">YEAR(A265)</f>
        <v>2024</v>
      </c>
      <c r="I265" t="str" s="60" cm="1">
        <f t="array" ref="I265">"Q"&amp;ROUNDUP(MONTH(A265)/3,0)</f>
        <v>Q3</v>
      </c>
      <c r="J265" t="s" s="57">
        <v>42</v>
      </c>
    </row>
    <row r="266" ht="13.55" customHeight="1">
      <c r="A266" s="51">
        <v>45545</v>
      </c>
      <c r="B266" t="s" s="52">
        <v>23</v>
      </c>
      <c r="C266" t="s" s="52">
        <v>81</v>
      </c>
      <c r="D266" t="s" s="52">
        <v>15</v>
      </c>
      <c r="E266" s="53">
        <v>15</v>
      </c>
      <c r="F266" s="54">
        <v>36709</v>
      </c>
      <c r="G266" s="54" cm="1">
        <f t="array" ref="G266">E266*F266</f>
        <v>550635</v>
      </c>
      <c r="H266" s="53" cm="1">
        <f t="array" ref="H266">YEAR(A266)</f>
        <v>2024</v>
      </c>
      <c r="I266" t="str" s="55" cm="1">
        <f t="array" ref="I266">"Q"&amp;ROUNDUP(MONTH(A266)/3,0)</f>
        <v>Q3</v>
      </c>
      <c r="J266" t="s" s="52">
        <v>42</v>
      </c>
    </row>
    <row r="267" ht="13.55" customHeight="1">
      <c r="A267" s="56">
        <v>45547</v>
      </c>
      <c r="B267" t="s" s="57">
        <v>20</v>
      </c>
      <c r="C267" t="s" s="57">
        <v>82</v>
      </c>
      <c r="D267" t="s" s="57">
        <v>15</v>
      </c>
      <c r="E267" s="58">
        <v>8</v>
      </c>
      <c r="F267" s="59">
        <v>42034</v>
      </c>
      <c r="G267" s="59" cm="1">
        <f t="array" ref="G267">E267*F267</f>
        <v>336272</v>
      </c>
      <c r="H267" s="58" cm="1">
        <f t="array" ref="H267">YEAR(A267)</f>
        <v>2024</v>
      </c>
      <c r="I267" t="str" s="60" cm="1">
        <f t="array" ref="I267">"Q"&amp;ROUNDUP(MONTH(A267)/3,0)</f>
        <v>Q3</v>
      </c>
      <c r="J267" t="s" s="57">
        <v>42</v>
      </c>
    </row>
    <row r="268" ht="13.55" customHeight="1">
      <c r="A268" s="51">
        <v>45547</v>
      </c>
      <c r="B268" t="s" s="52">
        <v>21</v>
      </c>
      <c r="C268" t="s" s="52">
        <v>82</v>
      </c>
      <c r="D268" t="s" s="52">
        <v>15</v>
      </c>
      <c r="E268" s="53">
        <v>9</v>
      </c>
      <c r="F268" s="54">
        <v>77567</v>
      </c>
      <c r="G268" s="54" cm="1">
        <f t="array" ref="G268">E268*F268</f>
        <v>698103</v>
      </c>
      <c r="H268" s="53" cm="1">
        <f t="array" ref="H268">YEAR(A268)</f>
        <v>2024</v>
      </c>
      <c r="I268" t="str" s="55" cm="1">
        <f t="array" ref="I268">"Q"&amp;ROUNDUP(MONTH(A268)/3,0)</f>
        <v>Q3</v>
      </c>
      <c r="J268" t="s" s="52">
        <v>42</v>
      </c>
    </row>
    <row r="269" ht="13.55" customHeight="1">
      <c r="A269" s="56">
        <v>45549</v>
      </c>
      <c r="B269" t="s" s="57">
        <v>23</v>
      </c>
      <c r="C269" t="s" s="57">
        <v>80</v>
      </c>
      <c r="D269" t="s" s="57">
        <v>17</v>
      </c>
      <c r="E269" s="58">
        <v>12</v>
      </c>
      <c r="F269" s="59">
        <v>58772</v>
      </c>
      <c r="G269" s="59" cm="1">
        <f t="array" ref="G269">E269*F269</f>
        <v>705264</v>
      </c>
      <c r="H269" s="58" cm="1">
        <f t="array" ref="H269">YEAR(A269)</f>
        <v>2024</v>
      </c>
      <c r="I269" t="str" s="60" cm="1">
        <f t="array" ref="I269">"Q"&amp;ROUNDUP(MONTH(A269)/3,0)</f>
        <v>Q3</v>
      </c>
      <c r="J269" t="s" s="57">
        <v>42</v>
      </c>
    </row>
    <row r="270" ht="13.55" customHeight="1">
      <c r="A270" s="51">
        <v>45550</v>
      </c>
      <c r="B270" t="s" s="52">
        <v>20</v>
      </c>
      <c r="C270" t="s" s="52">
        <v>84</v>
      </c>
      <c r="D270" t="s" s="52">
        <v>15</v>
      </c>
      <c r="E270" s="53">
        <v>3</v>
      </c>
      <c r="F270" s="54">
        <v>32042</v>
      </c>
      <c r="G270" s="54" cm="1">
        <f t="array" ref="G270">E270*F270</f>
        <v>96126</v>
      </c>
      <c r="H270" s="53" cm="1">
        <f t="array" ref="H270">YEAR(A270)</f>
        <v>2024</v>
      </c>
      <c r="I270" t="str" s="55" cm="1">
        <f t="array" ref="I270">"Q"&amp;ROUNDUP(MONTH(A270)/3,0)</f>
        <v>Q3</v>
      </c>
      <c r="J270" t="s" s="52">
        <v>42</v>
      </c>
    </row>
    <row r="271" ht="13.55" customHeight="1">
      <c r="A271" s="56">
        <v>45550</v>
      </c>
      <c r="B271" t="s" s="57">
        <v>22</v>
      </c>
      <c r="C271" t="s" s="57">
        <v>84</v>
      </c>
      <c r="D271" t="s" s="57">
        <v>18</v>
      </c>
      <c r="E271" s="58">
        <v>13</v>
      </c>
      <c r="F271" s="59">
        <v>61053</v>
      </c>
      <c r="G271" s="59" cm="1">
        <f t="array" ref="G271">E271*F271</f>
        <v>793689</v>
      </c>
      <c r="H271" s="58" cm="1">
        <f t="array" ref="H271">YEAR(A271)</f>
        <v>2024</v>
      </c>
      <c r="I271" t="str" s="60" cm="1">
        <f t="array" ref="I271">"Q"&amp;ROUNDUP(MONTH(A271)/3,0)</f>
        <v>Q3</v>
      </c>
      <c r="J271" t="s" s="57">
        <v>42</v>
      </c>
    </row>
    <row r="272" ht="13.55" customHeight="1">
      <c r="A272" s="51">
        <v>45554</v>
      </c>
      <c r="B272" t="s" s="52">
        <v>22</v>
      </c>
      <c r="C272" t="s" s="52">
        <v>82</v>
      </c>
      <c r="D272" t="s" s="52">
        <v>17</v>
      </c>
      <c r="E272" s="53">
        <v>4</v>
      </c>
      <c r="F272" s="54">
        <v>50913</v>
      </c>
      <c r="G272" s="54" cm="1">
        <f t="array" ref="G272">E272*F272</f>
        <v>203652</v>
      </c>
      <c r="H272" s="53" cm="1">
        <f t="array" ref="H272">YEAR(A272)</f>
        <v>2024</v>
      </c>
      <c r="I272" t="str" s="55" cm="1">
        <f t="array" ref="I272">"Q"&amp;ROUNDUP(MONTH(A272)/3,0)</f>
        <v>Q3</v>
      </c>
      <c r="J272" t="s" s="52">
        <v>42</v>
      </c>
    </row>
    <row r="273" ht="13.55" customHeight="1">
      <c r="A273" s="56">
        <v>45555</v>
      </c>
      <c r="B273" t="s" s="57">
        <v>21</v>
      </c>
      <c r="C273" t="s" s="57">
        <v>83</v>
      </c>
      <c r="D273" t="s" s="57">
        <v>17</v>
      </c>
      <c r="E273" s="58">
        <v>3</v>
      </c>
      <c r="F273" s="59">
        <v>42099</v>
      </c>
      <c r="G273" s="59" cm="1">
        <f t="array" ref="G273">E273*F273</f>
        <v>126297</v>
      </c>
      <c r="H273" s="58" cm="1">
        <f t="array" ref="H273">YEAR(A273)</f>
        <v>2024</v>
      </c>
      <c r="I273" t="str" s="60" cm="1">
        <f t="array" ref="I273">"Q"&amp;ROUNDUP(MONTH(A273)/3,0)</f>
        <v>Q3</v>
      </c>
      <c r="J273" t="s" s="57">
        <v>42</v>
      </c>
    </row>
    <row r="274" ht="13.55" customHeight="1">
      <c r="A274" s="51">
        <v>45556</v>
      </c>
      <c r="B274" t="s" s="52">
        <v>22</v>
      </c>
      <c r="C274" t="s" s="52">
        <v>80</v>
      </c>
      <c r="D274" t="s" s="52">
        <v>17</v>
      </c>
      <c r="E274" s="53">
        <v>5</v>
      </c>
      <c r="F274" s="54">
        <v>9567</v>
      </c>
      <c r="G274" s="54" cm="1">
        <f t="array" ref="G274">E274*F274</f>
        <v>47835</v>
      </c>
      <c r="H274" s="53" cm="1">
        <f t="array" ref="H274">YEAR(A274)</f>
        <v>2024</v>
      </c>
      <c r="I274" t="str" s="55" cm="1">
        <f t="array" ref="I274">"Q"&amp;ROUNDUP(MONTH(A274)/3,0)</f>
        <v>Q3</v>
      </c>
      <c r="J274" t="s" s="52">
        <v>42</v>
      </c>
    </row>
    <row r="275" ht="13.55" customHeight="1">
      <c r="A275" s="56">
        <v>45559</v>
      </c>
      <c r="B275" t="s" s="57">
        <v>22</v>
      </c>
      <c r="C275" t="s" s="57">
        <v>84</v>
      </c>
      <c r="D275" t="s" s="57">
        <v>18</v>
      </c>
      <c r="E275" s="58">
        <v>18</v>
      </c>
      <c r="F275" s="59">
        <v>45142</v>
      </c>
      <c r="G275" s="59" cm="1">
        <f t="array" ref="G275">E275*F275</f>
        <v>812556</v>
      </c>
      <c r="H275" s="58" cm="1">
        <f t="array" ref="H275">YEAR(A275)</f>
        <v>2024</v>
      </c>
      <c r="I275" t="str" s="60" cm="1">
        <f t="array" ref="I275">"Q"&amp;ROUNDUP(MONTH(A275)/3,0)</f>
        <v>Q3</v>
      </c>
      <c r="J275" t="s" s="57">
        <v>42</v>
      </c>
    </row>
    <row r="276" ht="13.55" customHeight="1">
      <c r="A276" s="51">
        <v>45559</v>
      </c>
      <c r="B276" t="s" s="52">
        <v>20</v>
      </c>
      <c r="C276" t="s" s="52">
        <v>81</v>
      </c>
      <c r="D276" t="s" s="52">
        <v>17</v>
      </c>
      <c r="E276" s="53">
        <v>15</v>
      </c>
      <c r="F276" s="54">
        <v>76128</v>
      </c>
      <c r="G276" s="54" cm="1">
        <f t="array" ref="G276">E276*F276</f>
        <v>1141920</v>
      </c>
      <c r="H276" s="53" cm="1">
        <f t="array" ref="H276">YEAR(A276)</f>
        <v>2024</v>
      </c>
      <c r="I276" t="str" s="55" cm="1">
        <f t="array" ref="I276">"Q"&amp;ROUNDUP(MONTH(A276)/3,0)</f>
        <v>Q3</v>
      </c>
      <c r="J276" t="s" s="52">
        <v>42</v>
      </c>
    </row>
    <row r="277" ht="13.55" customHeight="1">
      <c r="A277" s="56">
        <v>45560</v>
      </c>
      <c r="B277" t="s" s="57">
        <v>20</v>
      </c>
      <c r="C277" t="s" s="57">
        <v>80</v>
      </c>
      <c r="D277" t="s" s="57">
        <v>17</v>
      </c>
      <c r="E277" s="58">
        <v>9</v>
      </c>
      <c r="F277" s="59">
        <v>20735</v>
      </c>
      <c r="G277" s="59" cm="1">
        <f t="array" ref="G277">E277*F277</f>
        <v>186615</v>
      </c>
      <c r="H277" s="58" cm="1">
        <f t="array" ref="H277">YEAR(A277)</f>
        <v>2024</v>
      </c>
      <c r="I277" t="str" s="60" cm="1">
        <f t="array" ref="I277">"Q"&amp;ROUNDUP(MONTH(A277)/3,0)</f>
        <v>Q3</v>
      </c>
      <c r="J277" t="s" s="57">
        <v>42</v>
      </c>
    </row>
    <row r="278" ht="13.55" customHeight="1">
      <c r="A278" s="51">
        <v>45561</v>
      </c>
      <c r="B278" t="s" s="52">
        <v>22</v>
      </c>
      <c r="C278" t="s" s="52">
        <v>83</v>
      </c>
      <c r="D278" t="s" s="52">
        <v>15</v>
      </c>
      <c r="E278" s="53">
        <v>9</v>
      </c>
      <c r="F278" s="54">
        <v>65128</v>
      </c>
      <c r="G278" s="54" cm="1">
        <f t="array" ref="G278">E278*F278</f>
        <v>586152</v>
      </c>
      <c r="H278" s="53" cm="1">
        <f t="array" ref="H278">YEAR(A278)</f>
        <v>2024</v>
      </c>
      <c r="I278" t="str" s="55" cm="1">
        <f t="array" ref="I278">"Q"&amp;ROUNDUP(MONTH(A278)/3,0)</f>
        <v>Q3</v>
      </c>
      <c r="J278" t="s" s="52">
        <v>42</v>
      </c>
    </row>
    <row r="279" ht="13.55" customHeight="1">
      <c r="A279" s="56">
        <v>45562</v>
      </c>
      <c r="B279" t="s" s="57">
        <v>23</v>
      </c>
      <c r="C279" t="s" s="57">
        <v>80</v>
      </c>
      <c r="D279" t="s" s="57">
        <v>16</v>
      </c>
      <c r="E279" s="58">
        <v>7</v>
      </c>
      <c r="F279" s="59">
        <v>24581</v>
      </c>
      <c r="G279" s="59" cm="1">
        <f t="array" ref="G279">E279*F279</f>
        <v>172067</v>
      </c>
      <c r="H279" s="58" cm="1">
        <f t="array" ref="H279">YEAR(A279)</f>
        <v>2024</v>
      </c>
      <c r="I279" t="str" s="60" cm="1">
        <f t="array" ref="I279">"Q"&amp;ROUNDUP(MONTH(A279)/3,0)</f>
        <v>Q3</v>
      </c>
      <c r="J279" t="s" s="57">
        <v>42</v>
      </c>
    </row>
    <row r="280" ht="13.55" customHeight="1">
      <c r="A280" s="51">
        <v>45562</v>
      </c>
      <c r="B280" t="s" s="52">
        <v>22</v>
      </c>
      <c r="C280" t="s" s="52">
        <v>78</v>
      </c>
      <c r="D280" t="s" s="52">
        <v>18</v>
      </c>
      <c r="E280" s="53">
        <v>19</v>
      </c>
      <c r="F280" s="54">
        <v>26281</v>
      </c>
      <c r="G280" s="54" cm="1">
        <f t="array" ref="G280">E280*F280</f>
        <v>499339</v>
      </c>
      <c r="H280" s="53" cm="1">
        <f t="array" ref="H280">YEAR(A280)</f>
        <v>2024</v>
      </c>
      <c r="I280" t="str" s="55" cm="1">
        <f t="array" ref="I280">"Q"&amp;ROUNDUP(MONTH(A280)/3,0)</f>
        <v>Q3</v>
      </c>
      <c r="J280" t="s" s="52">
        <v>42</v>
      </c>
    </row>
    <row r="281" ht="13.55" customHeight="1">
      <c r="A281" s="56">
        <v>45563</v>
      </c>
      <c r="B281" t="s" s="57">
        <v>22</v>
      </c>
      <c r="C281" t="s" s="57">
        <v>84</v>
      </c>
      <c r="D281" t="s" s="57">
        <v>15</v>
      </c>
      <c r="E281" s="58">
        <v>10</v>
      </c>
      <c r="F281" s="59">
        <v>69729</v>
      </c>
      <c r="G281" s="59" cm="1">
        <f t="array" ref="G281">E281*F281</f>
        <v>697290</v>
      </c>
      <c r="H281" s="58" cm="1">
        <f t="array" ref="H281">YEAR(A281)</f>
        <v>2024</v>
      </c>
      <c r="I281" t="str" s="60" cm="1">
        <f t="array" ref="I281">"Q"&amp;ROUNDUP(MONTH(A281)/3,0)</f>
        <v>Q3</v>
      </c>
      <c r="J281" t="s" s="57">
        <v>42</v>
      </c>
    </row>
    <row r="282" ht="13.55" customHeight="1">
      <c r="A282" s="51">
        <v>45564</v>
      </c>
      <c r="B282" t="s" s="52">
        <v>23</v>
      </c>
      <c r="C282" t="s" s="52">
        <v>83</v>
      </c>
      <c r="D282" t="s" s="52">
        <v>16</v>
      </c>
      <c r="E282" s="53">
        <v>11</v>
      </c>
      <c r="F282" s="54">
        <v>56257</v>
      </c>
      <c r="G282" s="54" cm="1">
        <f t="array" ref="G282">E282*F282</f>
        <v>618827</v>
      </c>
      <c r="H282" s="53" cm="1">
        <f t="array" ref="H282">YEAR(A282)</f>
        <v>2024</v>
      </c>
      <c r="I282" t="str" s="55" cm="1">
        <f t="array" ref="I282">"Q"&amp;ROUNDUP(MONTH(A282)/3,0)</f>
        <v>Q3</v>
      </c>
      <c r="J282" t="s" s="52">
        <v>42</v>
      </c>
    </row>
    <row r="283" ht="13.55" customHeight="1">
      <c r="A283" s="56">
        <v>45565</v>
      </c>
      <c r="B283" t="s" s="57">
        <v>23</v>
      </c>
      <c r="C283" t="s" s="57">
        <v>81</v>
      </c>
      <c r="D283" t="s" s="57">
        <v>16</v>
      </c>
      <c r="E283" s="58">
        <v>3</v>
      </c>
      <c r="F283" s="59">
        <v>7642</v>
      </c>
      <c r="G283" s="59" cm="1">
        <f t="array" ref="G283">E283*F283</f>
        <v>22926</v>
      </c>
      <c r="H283" s="58" cm="1">
        <f t="array" ref="H283">YEAR(A283)</f>
        <v>2024</v>
      </c>
      <c r="I283" t="str" s="60" cm="1">
        <f t="array" ref="I283">"Q"&amp;ROUNDUP(MONTH(A283)/3,0)</f>
        <v>Q3</v>
      </c>
      <c r="J283" t="s" s="57">
        <v>42</v>
      </c>
    </row>
    <row r="284" ht="13.55" customHeight="1">
      <c r="A284" s="51">
        <v>45568</v>
      </c>
      <c r="B284" t="s" s="52">
        <v>23</v>
      </c>
      <c r="C284" t="s" s="52">
        <v>82</v>
      </c>
      <c r="D284" t="s" s="52">
        <v>18</v>
      </c>
      <c r="E284" s="53">
        <v>11</v>
      </c>
      <c r="F284" s="54">
        <v>30183</v>
      </c>
      <c r="G284" s="54" cm="1">
        <f t="array" ref="G284">E284*F284</f>
        <v>332013</v>
      </c>
      <c r="H284" s="53" cm="1">
        <f t="array" ref="H284">YEAR(A284)</f>
        <v>2024</v>
      </c>
      <c r="I284" t="str" s="55" cm="1">
        <f t="array" ref="I284">"Q"&amp;ROUNDUP(MONTH(A284)/3,0)</f>
        <v>Q4</v>
      </c>
      <c r="J284" t="s" s="52">
        <v>45</v>
      </c>
    </row>
    <row r="285" ht="13.55" customHeight="1">
      <c r="A285" s="56">
        <v>45568</v>
      </c>
      <c r="B285" t="s" s="57">
        <v>22</v>
      </c>
      <c r="C285" t="s" s="57">
        <v>78</v>
      </c>
      <c r="D285" t="s" s="57">
        <v>17</v>
      </c>
      <c r="E285" s="58">
        <v>9</v>
      </c>
      <c r="F285" s="59">
        <v>75130</v>
      </c>
      <c r="G285" s="59" cm="1">
        <f t="array" ref="G285">E285*F285</f>
        <v>676170</v>
      </c>
      <c r="H285" s="58" cm="1">
        <f t="array" ref="H285">YEAR(A285)</f>
        <v>2024</v>
      </c>
      <c r="I285" t="str" s="60" cm="1">
        <f t="array" ref="I285">"Q"&amp;ROUNDUP(MONTH(A285)/3,0)</f>
        <v>Q4</v>
      </c>
      <c r="J285" t="s" s="57">
        <v>45</v>
      </c>
    </row>
    <row r="286" ht="13.55" customHeight="1">
      <c r="A286" s="51">
        <v>45568</v>
      </c>
      <c r="B286" t="s" s="52">
        <v>21</v>
      </c>
      <c r="C286" t="s" s="52">
        <v>83</v>
      </c>
      <c r="D286" t="s" s="52">
        <v>17</v>
      </c>
      <c r="E286" s="53">
        <v>6</v>
      </c>
      <c r="F286" s="54">
        <v>6988</v>
      </c>
      <c r="G286" s="54" cm="1">
        <f t="array" ref="G286">E286*F286</f>
        <v>41928</v>
      </c>
      <c r="H286" s="53" cm="1">
        <f t="array" ref="H286">YEAR(A286)</f>
        <v>2024</v>
      </c>
      <c r="I286" t="str" s="55" cm="1">
        <f t="array" ref="I286">"Q"&amp;ROUNDUP(MONTH(A286)/3,0)</f>
        <v>Q4</v>
      </c>
      <c r="J286" t="s" s="52">
        <v>45</v>
      </c>
    </row>
    <row r="287" ht="13.55" customHeight="1">
      <c r="A287" s="56">
        <v>45568</v>
      </c>
      <c r="B287" t="s" s="57">
        <v>22</v>
      </c>
      <c r="C287" t="s" s="57">
        <v>83</v>
      </c>
      <c r="D287" t="s" s="57">
        <v>16</v>
      </c>
      <c r="E287" s="58">
        <v>16</v>
      </c>
      <c r="F287" s="59">
        <v>21061</v>
      </c>
      <c r="G287" s="59" cm="1">
        <f t="array" ref="G287">E287*F287</f>
        <v>336976</v>
      </c>
      <c r="H287" s="58" cm="1">
        <f t="array" ref="H287">YEAR(A287)</f>
        <v>2024</v>
      </c>
      <c r="I287" t="str" s="60" cm="1">
        <f t="array" ref="I287">"Q"&amp;ROUNDUP(MONTH(A287)/3,0)</f>
        <v>Q4</v>
      </c>
      <c r="J287" t="s" s="57">
        <v>45</v>
      </c>
    </row>
    <row r="288" ht="13.55" customHeight="1">
      <c r="A288" s="51">
        <v>45570</v>
      </c>
      <c r="B288" t="s" s="52">
        <v>22</v>
      </c>
      <c r="C288" t="s" s="52">
        <v>78</v>
      </c>
      <c r="D288" t="s" s="52">
        <v>17</v>
      </c>
      <c r="E288" s="53">
        <v>10</v>
      </c>
      <c r="F288" s="54">
        <v>16410</v>
      </c>
      <c r="G288" s="54" cm="1">
        <f t="array" ref="G288">E288*F288</f>
        <v>164100</v>
      </c>
      <c r="H288" s="53" cm="1">
        <f t="array" ref="H288">YEAR(A288)</f>
        <v>2024</v>
      </c>
      <c r="I288" t="str" s="55" cm="1">
        <f t="array" ref="I288">"Q"&amp;ROUNDUP(MONTH(A288)/3,0)</f>
        <v>Q4</v>
      </c>
      <c r="J288" t="s" s="52">
        <v>45</v>
      </c>
    </row>
    <row r="289" ht="13.55" customHeight="1">
      <c r="A289" s="56">
        <v>45571</v>
      </c>
      <c r="B289" t="s" s="57">
        <v>21</v>
      </c>
      <c r="C289" t="s" s="57">
        <v>84</v>
      </c>
      <c r="D289" t="s" s="57">
        <v>15</v>
      </c>
      <c r="E289" s="58">
        <v>18</v>
      </c>
      <c r="F289" s="59">
        <v>41945</v>
      </c>
      <c r="G289" s="59" cm="1">
        <f t="array" ref="G289">E289*F289</f>
        <v>755010</v>
      </c>
      <c r="H289" s="58" cm="1">
        <f t="array" ref="H289">YEAR(A289)</f>
        <v>2024</v>
      </c>
      <c r="I289" t="str" s="60" cm="1">
        <f t="array" ref="I289">"Q"&amp;ROUNDUP(MONTH(A289)/3,0)</f>
        <v>Q4</v>
      </c>
      <c r="J289" t="s" s="57">
        <v>45</v>
      </c>
    </row>
    <row r="290" ht="13.55" customHeight="1">
      <c r="A290" s="51">
        <v>45571</v>
      </c>
      <c r="B290" t="s" s="52">
        <v>22</v>
      </c>
      <c r="C290" t="s" s="52">
        <v>78</v>
      </c>
      <c r="D290" t="s" s="52">
        <v>16</v>
      </c>
      <c r="E290" s="53">
        <v>10</v>
      </c>
      <c r="F290" s="54">
        <v>75532</v>
      </c>
      <c r="G290" s="54" cm="1">
        <f t="array" ref="G290">E290*F290</f>
        <v>755320</v>
      </c>
      <c r="H290" s="53" cm="1">
        <f t="array" ref="H290">YEAR(A290)</f>
        <v>2024</v>
      </c>
      <c r="I290" t="str" s="55" cm="1">
        <f t="array" ref="I290">"Q"&amp;ROUNDUP(MONTH(A290)/3,0)</f>
        <v>Q4</v>
      </c>
      <c r="J290" t="s" s="52">
        <v>45</v>
      </c>
    </row>
    <row r="291" ht="13.55" customHeight="1">
      <c r="A291" s="56">
        <v>45574</v>
      </c>
      <c r="B291" t="s" s="57">
        <v>20</v>
      </c>
      <c r="C291" t="s" s="57">
        <v>81</v>
      </c>
      <c r="D291" t="s" s="57">
        <v>17</v>
      </c>
      <c r="E291" s="58">
        <v>17</v>
      </c>
      <c r="F291" s="59">
        <v>20534</v>
      </c>
      <c r="G291" s="59" cm="1">
        <f t="array" ref="G291">E291*F291</f>
        <v>349078</v>
      </c>
      <c r="H291" s="58" cm="1">
        <f t="array" ref="H291">YEAR(A291)</f>
        <v>2024</v>
      </c>
      <c r="I291" t="str" s="60" cm="1">
        <f t="array" ref="I291">"Q"&amp;ROUNDUP(MONTH(A291)/3,0)</f>
        <v>Q4</v>
      </c>
      <c r="J291" t="s" s="57">
        <v>45</v>
      </c>
    </row>
    <row r="292" ht="13.55" customHeight="1">
      <c r="A292" s="51">
        <v>45574</v>
      </c>
      <c r="B292" t="s" s="52">
        <v>21</v>
      </c>
      <c r="C292" t="s" s="52">
        <v>82</v>
      </c>
      <c r="D292" t="s" s="52">
        <v>15</v>
      </c>
      <c r="E292" s="53">
        <v>8</v>
      </c>
      <c r="F292" s="54">
        <v>68344</v>
      </c>
      <c r="G292" s="54" cm="1">
        <f t="array" ref="G292">E292*F292</f>
        <v>546752</v>
      </c>
      <c r="H292" s="53" cm="1">
        <f t="array" ref="H292">YEAR(A292)</f>
        <v>2024</v>
      </c>
      <c r="I292" t="str" s="55" cm="1">
        <f t="array" ref="I292">"Q"&amp;ROUNDUP(MONTH(A292)/3,0)</f>
        <v>Q4</v>
      </c>
      <c r="J292" t="s" s="52">
        <v>45</v>
      </c>
    </row>
    <row r="293" ht="13.55" customHeight="1">
      <c r="A293" s="56">
        <v>45575</v>
      </c>
      <c r="B293" t="s" s="57">
        <v>23</v>
      </c>
      <c r="C293" t="s" s="57">
        <v>83</v>
      </c>
      <c r="D293" t="s" s="57">
        <v>16</v>
      </c>
      <c r="E293" s="58">
        <v>3</v>
      </c>
      <c r="F293" s="59">
        <v>67767</v>
      </c>
      <c r="G293" s="59" cm="1">
        <f t="array" ref="G293">E293*F293</f>
        <v>203301</v>
      </c>
      <c r="H293" s="58" cm="1">
        <f t="array" ref="H293">YEAR(A293)</f>
        <v>2024</v>
      </c>
      <c r="I293" t="str" s="60" cm="1">
        <f t="array" ref="I293">"Q"&amp;ROUNDUP(MONTH(A293)/3,0)</f>
        <v>Q4</v>
      </c>
      <c r="J293" t="s" s="57">
        <v>45</v>
      </c>
    </row>
    <row r="294" ht="13.55" customHeight="1">
      <c r="A294" s="51">
        <v>45576</v>
      </c>
      <c r="B294" t="s" s="52">
        <v>20</v>
      </c>
      <c r="C294" t="s" s="52">
        <v>83</v>
      </c>
      <c r="D294" t="s" s="52">
        <v>16</v>
      </c>
      <c r="E294" s="53">
        <v>15</v>
      </c>
      <c r="F294" s="54">
        <v>37954</v>
      </c>
      <c r="G294" s="54" cm="1">
        <f t="array" ref="G294">E294*F294</f>
        <v>569310</v>
      </c>
      <c r="H294" s="53" cm="1">
        <f t="array" ref="H294">YEAR(A294)</f>
        <v>2024</v>
      </c>
      <c r="I294" t="str" s="55" cm="1">
        <f t="array" ref="I294">"Q"&amp;ROUNDUP(MONTH(A294)/3,0)</f>
        <v>Q4</v>
      </c>
      <c r="J294" t="s" s="52">
        <v>45</v>
      </c>
    </row>
    <row r="295" ht="13.55" customHeight="1">
      <c r="A295" s="56">
        <v>45576</v>
      </c>
      <c r="B295" t="s" s="57">
        <v>21</v>
      </c>
      <c r="C295" t="s" s="57">
        <v>80</v>
      </c>
      <c r="D295" t="s" s="57">
        <v>17</v>
      </c>
      <c r="E295" s="58">
        <v>11</v>
      </c>
      <c r="F295" s="59">
        <v>54649</v>
      </c>
      <c r="G295" s="59" cm="1">
        <f t="array" ref="G295">E295*F295</f>
        <v>601139</v>
      </c>
      <c r="H295" s="58" cm="1">
        <f t="array" ref="H295">YEAR(A295)</f>
        <v>2024</v>
      </c>
      <c r="I295" t="str" s="60" cm="1">
        <f t="array" ref="I295">"Q"&amp;ROUNDUP(MONTH(A295)/3,0)</f>
        <v>Q4</v>
      </c>
      <c r="J295" t="s" s="57">
        <v>45</v>
      </c>
    </row>
    <row r="296" ht="13.55" customHeight="1">
      <c r="A296" s="51">
        <v>45579</v>
      </c>
      <c r="B296" t="s" s="52">
        <v>20</v>
      </c>
      <c r="C296" t="s" s="52">
        <v>82</v>
      </c>
      <c r="D296" t="s" s="52">
        <v>15</v>
      </c>
      <c r="E296" s="53">
        <v>15</v>
      </c>
      <c r="F296" s="54">
        <v>14941</v>
      </c>
      <c r="G296" s="54" cm="1">
        <f t="array" ref="G296">E296*F296</f>
        <v>224115</v>
      </c>
      <c r="H296" s="53" cm="1">
        <f t="array" ref="H296">YEAR(A296)</f>
        <v>2024</v>
      </c>
      <c r="I296" t="str" s="55" cm="1">
        <f t="array" ref="I296">"Q"&amp;ROUNDUP(MONTH(A296)/3,0)</f>
        <v>Q4</v>
      </c>
      <c r="J296" t="s" s="52">
        <v>45</v>
      </c>
    </row>
    <row r="297" ht="13.55" customHeight="1">
      <c r="A297" s="56">
        <v>45580</v>
      </c>
      <c r="B297" t="s" s="57">
        <v>22</v>
      </c>
      <c r="C297" t="s" s="57">
        <v>80</v>
      </c>
      <c r="D297" t="s" s="57">
        <v>15</v>
      </c>
      <c r="E297" s="58">
        <v>8</v>
      </c>
      <c r="F297" s="59">
        <v>52195</v>
      </c>
      <c r="G297" s="59" cm="1">
        <f t="array" ref="G297">E297*F297</f>
        <v>417560</v>
      </c>
      <c r="H297" s="58" cm="1">
        <f t="array" ref="H297">YEAR(A297)</f>
        <v>2024</v>
      </c>
      <c r="I297" t="str" s="60" cm="1">
        <f t="array" ref="I297">"Q"&amp;ROUNDUP(MONTH(A297)/3,0)</f>
        <v>Q4</v>
      </c>
      <c r="J297" t="s" s="57">
        <v>45</v>
      </c>
    </row>
    <row r="298" ht="13.55" customHeight="1">
      <c r="A298" s="51">
        <v>45580</v>
      </c>
      <c r="B298" t="s" s="52">
        <v>21</v>
      </c>
      <c r="C298" t="s" s="52">
        <v>81</v>
      </c>
      <c r="D298" t="s" s="52">
        <v>18</v>
      </c>
      <c r="E298" s="53">
        <v>19</v>
      </c>
      <c r="F298" s="54">
        <v>59722</v>
      </c>
      <c r="G298" s="54" cm="1">
        <f t="array" ref="G298">E298*F298</f>
        <v>1134718</v>
      </c>
      <c r="H298" s="53" cm="1">
        <f t="array" ref="H298">YEAR(A298)</f>
        <v>2024</v>
      </c>
      <c r="I298" t="str" s="55" cm="1">
        <f t="array" ref="I298">"Q"&amp;ROUNDUP(MONTH(A298)/3,0)</f>
        <v>Q4</v>
      </c>
      <c r="J298" t="s" s="52">
        <v>45</v>
      </c>
    </row>
    <row r="299" ht="13.55" customHeight="1">
      <c r="A299" s="56">
        <v>45585</v>
      </c>
      <c r="B299" t="s" s="57">
        <v>21</v>
      </c>
      <c r="C299" t="s" s="57">
        <v>84</v>
      </c>
      <c r="D299" t="s" s="57">
        <v>17</v>
      </c>
      <c r="E299" s="58">
        <v>4</v>
      </c>
      <c r="F299" s="59">
        <v>42548</v>
      </c>
      <c r="G299" s="59" cm="1">
        <f t="array" ref="G299">E299*F299</f>
        <v>170192</v>
      </c>
      <c r="H299" s="58" cm="1">
        <f t="array" ref="H299">YEAR(A299)</f>
        <v>2024</v>
      </c>
      <c r="I299" t="str" s="60" cm="1">
        <f t="array" ref="I299">"Q"&amp;ROUNDUP(MONTH(A299)/3,0)</f>
        <v>Q4</v>
      </c>
      <c r="J299" t="s" s="57">
        <v>45</v>
      </c>
    </row>
    <row r="300" ht="13.55" customHeight="1">
      <c r="A300" s="51">
        <v>45587</v>
      </c>
      <c r="B300" t="s" s="52">
        <v>23</v>
      </c>
      <c r="C300" t="s" s="52">
        <v>84</v>
      </c>
      <c r="D300" t="s" s="52">
        <v>16</v>
      </c>
      <c r="E300" s="53">
        <v>12</v>
      </c>
      <c r="F300" s="54">
        <v>72087</v>
      </c>
      <c r="G300" s="54" cm="1">
        <f t="array" ref="G300">E300*F300</f>
        <v>865044</v>
      </c>
      <c r="H300" s="53" cm="1">
        <f t="array" ref="H300">YEAR(A300)</f>
        <v>2024</v>
      </c>
      <c r="I300" t="str" s="55" cm="1">
        <f t="array" ref="I300">"Q"&amp;ROUNDUP(MONTH(A300)/3,0)</f>
        <v>Q4</v>
      </c>
      <c r="J300" t="s" s="52">
        <v>45</v>
      </c>
    </row>
    <row r="301" ht="13.55" customHeight="1">
      <c r="A301" s="56">
        <v>45589</v>
      </c>
      <c r="B301" t="s" s="57">
        <v>20</v>
      </c>
      <c r="C301" t="s" s="57">
        <v>82</v>
      </c>
      <c r="D301" t="s" s="57">
        <v>17</v>
      </c>
      <c r="E301" s="58">
        <v>17</v>
      </c>
      <c r="F301" s="59">
        <v>40740</v>
      </c>
      <c r="G301" s="59" cm="1">
        <f t="array" ref="G301">E301*F301</f>
        <v>692580</v>
      </c>
      <c r="H301" s="58" cm="1">
        <f t="array" ref="H301">YEAR(A301)</f>
        <v>2024</v>
      </c>
      <c r="I301" t="str" s="60" cm="1">
        <f t="array" ref="I301">"Q"&amp;ROUNDUP(MONTH(A301)/3,0)</f>
        <v>Q4</v>
      </c>
      <c r="J301" t="s" s="57">
        <v>45</v>
      </c>
    </row>
    <row r="302" ht="13.55" customHeight="1">
      <c r="A302" s="51">
        <v>45592</v>
      </c>
      <c r="B302" t="s" s="52">
        <v>20</v>
      </c>
      <c r="C302" t="s" s="52">
        <v>81</v>
      </c>
      <c r="D302" t="s" s="52">
        <v>16</v>
      </c>
      <c r="E302" s="53">
        <v>4</v>
      </c>
      <c r="F302" s="54">
        <v>65652</v>
      </c>
      <c r="G302" s="54" cm="1">
        <f t="array" ref="G302">E302*F302</f>
        <v>262608</v>
      </c>
      <c r="H302" s="53" cm="1">
        <f t="array" ref="H302">YEAR(A302)</f>
        <v>2024</v>
      </c>
      <c r="I302" t="str" s="55" cm="1">
        <f t="array" ref="I302">"Q"&amp;ROUNDUP(MONTH(A302)/3,0)</f>
        <v>Q4</v>
      </c>
      <c r="J302" t="s" s="52">
        <v>45</v>
      </c>
    </row>
    <row r="303" ht="13.55" customHeight="1">
      <c r="A303" s="56">
        <v>45593</v>
      </c>
      <c r="B303" t="s" s="57">
        <v>21</v>
      </c>
      <c r="C303" t="s" s="57">
        <v>83</v>
      </c>
      <c r="D303" t="s" s="57">
        <v>18</v>
      </c>
      <c r="E303" s="58">
        <v>2</v>
      </c>
      <c r="F303" s="59">
        <v>35257</v>
      </c>
      <c r="G303" s="59" cm="1">
        <f t="array" ref="G303">E303*F303</f>
        <v>70514</v>
      </c>
      <c r="H303" s="58" cm="1">
        <f t="array" ref="H303">YEAR(A303)</f>
        <v>2024</v>
      </c>
      <c r="I303" t="str" s="60" cm="1">
        <f t="array" ref="I303">"Q"&amp;ROUNDUP(MONTH(A303)/3,0)</f>
        <v>Q4</v>
      </c>
      <c r="J303" t="s" s="57">
        <v>45</v>
      </c>
    </row>
    <row r="304" ht="13.55" customHeight="1">
      <c r="A304" s="51">
        <v>45593</v>
      </c>
      <c r="B304" t="s" s="52">
        <v>23</v>
      </c>
      <c r="C304" t="s" s="52">
        <v>80</v>
      </c>
      <c r="D304" t="s" s="52">
        <v>17</v>
      </c>
      <c r="E304" s="53">
        <v>2</v>
      </c>
      <c r="F304" s="54">
        <v>35676</v>
      </c>
      <c r="G304" s="54" cm="1">
        <f t="array" ref="G304">E304*F304</f>
        <v>71352</v>
      </c>
      <c r="H304" s="53" cm="1">
        <f t="array" ref="H304">YEAR(A304)</f>
        <v>2024</v>
      </c>
      <c r="I304" t="str" s="55" cm="1">
        <f t="array" ref="I304">"Q"&amp;ROUNDUP(MONTH(A304)/3,0)</f>
        <v>Q4</v>
      </c>
      <c r="J304" t="s" s="52">
        <v>45</v>
      </c>
    </row>
    <row r="305" ht="13.55" customHeight="1">
      <c r="A305" s="56">
        <v>45595</v>
      </c>
      <c r="B305" t="s" s="57">
        <v>22</v>
      </c>
      <c r="C305" t="s" s="57">
        <v>81</v>
      </c>
      <c r="D305" t="s" s="57">
        <v>17</v>
      </c>
      <c r="E305" s="58">
        <v>5</v>
      </c>
      <c r="F305" s="59">
        <v>65935</v>
      </c>
      <c r="G305" s="59" cm="1">
        <f t="array" ref="G305">E305*F305</f>
        <v>329675</v>
      </c>
      <c r="H305" s="58" cm="1">
        <f t="array" ref="H305">YEAR(A305)</f>
        <v>2024</v>
      </c>
      <c r="I305" t="str" s="60" cm="1">
        <f t="array" ref="I305">"Q"&amp;ROUNDUP(MONTH(A305)/3,0)</f>
        <v>Q4</v>
      </c>
      <c r="J305" t="s" s="57">
        <v>45</v>
      </c>
    </row>
    <row r="306" ht="13.55" customHeight="1">
      <c r="A306" s="51">
        <v>45596</v>
      </c>
      <c r="B306" t="s" s="52">
        <v>21</v>
      </c>
      <c r="C306" t="s" s="52">
        <v>83</v>
      </c>
      <c r="D306" t="s" s="52">
        <v>15</v>
      </c>
      <c r="E306" s="53">
        <v>7</v>
      </c>
      <c r="F306" s="54">
        <v>19719</v>
      </c>
      <c r="G306" s="54" cm="1">
        <f t="array" ref="G306">E306*F306</f>
        <v>138033</v>
      </c>
      <c r="H306" s="53" cm="1">
        <f t="array" ref="H306">YEAR(A306)</f>
        <v>2024</v>
      </c>
      <c r="I306" t="str" s="55" cm="1">
        <f t="array" ref="I306">"Q"&amp;ROUNDUP(MONTH(A306)/3,0)</f>
        <v>Q4</v>
      </c>
      <c r="J306" t="s" s="52">
        <v>45</v>
      </c>
    </row>
    <row r="307" ht="13.55" customHeight="1">
      <c r="A307" s="56">
        <v>45596</v>
      </c>
      <c r="B307" t="s" s="57">
        <v>23</v>
      </c>
      <c r="C307" t="s" s="57">
        <v>81</v>
      </c>
      <c r="D307" t="s" s="57">
        <v>18</v>
      </c>
      <c r="E307" s="58">
        <v>19</v>
      </c>
      <c r="F307" s="59">
        <v>37101</v>
      </c>
      <c r="G307" s="59" cm="1">
        <f t="array" ref="G307">E307*F307</f>
        <v>704919</v>
      </c>
      <c r="H307" s="58" cm="1">
        <f t="array" ref="H307">YEAR(A307)</f>
        <v>2024</v>
      </c>
      <c r="I307" t="str" s="60" cm="1">
        <f t="array" ref="I307">"Q"&amp;ROUNDUP(MONTH(A307)/3,0)</f>
        <v>Q4</v>
      </c>
      <c r="J307" t="s" s="57">
        <v>45</v>
      </c>
    </row>
    <row r="308" ht="13.55" customHeight="1">
      <c r="A308" s="51">
        <v>45600</v>
      </c>
      <c r="B308" t="s" s="52">
        <v>20</v>
      </c>
      <c r="C308" t="s" s="52">
        <v>82</v>
      </c>
      <c r="D308" t="s" s="52">
        <v>15</v>
      </c>
      <c r="E308" s="53">
        <v>3</v>
      </c>
      <c r="F308" s="54">
        <v>56913</v>
      </c>
      <c r="G308" s="54" cm="1">
        <f t="array" ref="G308">E308*F308</f>
        <v>170739</v>
      </c>
      <c r="H308" s="53" cm="1">
        <f t="array" ref="H308">YEAR(A308)</f>
        <v>2024</v>
      </c>
      <c r="I308" t="str" s="55" cm="1">
        <f t="array" ref="I308">"Q"&amp;ROUNDUP(MONTH(A308)/3,0)</f>
        <v>Q4</v>
      </c>
      <c r="J308" t="s" s="52">
        <v>48</v>
      </c>
    </row>
    <row r="309" ht="13.55" customHeight="1">
      <c r="A309" s="56">
        <v>45605</v>
      </c>
      <c r="B309" t="s" s="57">
        <v>23</v>
      </c>
      <c r="C309" t="s" s="57">
        <v>84</v>
      </c>
      <c r="D309" t="s" s="57">
        <v>18</v>
      </c>
      <c r="E309" s="58">
        <v>15</v>
      </c>
      <c r="F309" s="59">
        <v>40179</v>
      </c>
      <c r="G309" s="59" cm="1">
        <f t="array" ref="G309">E309*F309</f>
        <v>602685</v>
      </c>
      <c r="H309" s="58" cm="1">
        <f t="array" ref="H309">YEAR(A309)</f>
        <v>2024</v>
      </c>
      <c r="I309" t="str" s="60" cm="1">
        <f t="array" ref="I309">"Q"&amp;ROUNDUP(MONTH(A309)/3,0)</f>
        <v>Q4</v>
      </c>
      <c r="J309" t="s" s="57">
        <v>48</v>
      </c>
    </row>
    <row r="310" ht="13.55" customHeight="1">
      <c r="A310" s="51">
        <v>45605</v>
      </c>
      <c r="B310" t="s" s="52">
        <v>20</v>
      </c>
      <c r="C310" t="s" s="52">
        <v>78</v>
      </c>
      <c r="D310" t="s" s="52">
        <v>16</v>
      </c>
      <c r="E310" s="53">
        <v>8</v>
      </c>
      <c r="F310" s="54">
        <v>64778</v>
      </c>
      <c r="G310" s="54" cm="1">
        <f t="array" ref="G310">E310*F310</f>
        <v>518224</v>
      </c>
      <c r="H310" s="53" cm="1">
        <f t="array" ref="H310">YEAR(A310)</f>
        <v>2024</v>
      </c>
      <c r="I310" t="str" s="55" cm="1">
        <f t="array" ref="I310">"Q"&amp;ROUNDUP(MONTH(A310)/3,0)</f>
        <v>Q4</v>
      </c>
      <c r="J310" t="s" s="52">
        <v>48</v>
      </c>
    </row>
    <row r="311" ht="13.55" customHeight="1">
      <c r="A311" s="56">
        <v>45607</v>
      </c>
      <c r="B311" t="s" s="57">
        <v>21</v>
      </c>
      <c r="C311" t="s" s="57">
        <v>83</v>
      </c>
      <c r="D311" t="s" s="57">
        <v>15</v>
      </c>
      <c r="E311" s="58">
        <v>9</v>
      </c>
      <c r="F311" s="59">
        <v>67260</v>
      </c>
      <c r="G311" s="59" cm="1">
        <f t="array" ref="G311">E311*F311</f>
        <v>605340</v>
      </c>
      <c r="H311" s="58" cm="1">
        <f t="array" ref="H311">YEAR(A311)</f>
        <v>2024</v>
      </c>
      <c r="I311" t="str" s="60" cm="1">
        <f t="array" ref="I311">"Q"&amp;ROUNDUP(MONTH(A311)/3,0)</f>
        <v>Q4</v>
      </c>
      <c r="J311" t="s" s="57">
        <v>48</v>
      </c>
    </row>
    <row r="312" ht="13.55" customHeight="1">
      <c r="A312" s="51">
        <v>45607</v>
      </c>
      <c r="B312" t="s" s="52">
        <v>22</v>
      </c>
      <c r="C312" t="s" s="52">
        <v>83</v>
      </c>
      <c r="D312" t="s" s="52">
        <v>16</v>
      </c>
      <c r="E312" s="53">
        <v>2</v>
      </c>
      <c r="F312" s="54">
        <v>51799</v>
      </c>
      <c r="G312" s="54" cm="1">
        <f t="array" ref="G312">E312*F312</f>
        <v>103598</v>
      </c>
      <c r="H312" s="53" cm="1">
        <f t="array" ref="H312">YEAR(A312)</f>
        <v>2024</v>
      </c>
      <c r="I312" t="str" s="55" cm="1">
        <f t="array" ref="I312">"Q"&amp;ROUNDUP(MONTH(A312)/3,0)</f>
        <v>Q4</v>
      </c>
      <c r="J312" t="s" s="52">
        <v>48</v>
      </c>
    </row>
    <row r="313" ht="13.55" customHeight="1">
      <c r="A313" s="56">
        <v>45609</v>
      </c>
      <c r="B313" t="s" s="57">
        <v>21</v>
      </c>
      <c r="C313" t="s" s="57">
        <v>78</v>
      </c>
      <c r="D313" t="s" s="57">
        <v>18</v>
      </c>
      <c r="E313" s="58">
        <v>3</v>
      </c>
      <c r="F313" s="59">
        <v>37972</v>
      </c>
      <c r="G313" s="59" cm="1">
        <f t="array" ref="G313">E313*F313</f>
        <v>113916</v>
      </c>
      <c r="H313" s="58" cm="1">
        <f t="array" ref="H313">YEAR(A313)</f>
        <v>2024</v>
      </c>
      <c r="I313" t="str" s="60" cm="1">
        <f t="array" ref="I313">"Q"&amp;ROUNDUP(MONTH(A313)/3,0)</f>
        <v>Q4</v>
      </c>
      <c r="J313" t="s" s="57">
        <v>48</v>
      </c>
    </row>
    <row r="314" ht="13.55" customHeight="1">
      <c r="A314" s="51">
        <v>45612</v>
      </c>
      <c r="B314" t="s" s="52">
        <v>23</v>
      </c>
      <c r="C314" t="s" s="52">
        <v>82</v>
      </c>
      <c r="D314" t="s" s="52">
        <v>15</v>
      </c>
      <c r="E314" s="53">
        <v>18</v>
      </c>
      <c r="F314" s="54">
        <v>59199</v>
      </c>
      <c r="G314" s="54" cm="1">
        <f t="array" ref="G314">E314*F314</f>
        <v>1065582</v>
      </c>
      <c r="H314" s="53" cm="1">
        <f t="array" ref="H314">YEAR(A314)</f>
        <v>2024</v>
      </c>
      <c r="I314" t="str" s="55" cm="1">
        <f t="array" ref="I314">"Q"&amp;ROUNDUP(MONTH(A314)/3,0)</f>
        <v>Q4</v>
      </c>
      <c r="J314" t="s" s="52">
        <v>48</v>
      </c>
    </row>
    <row r="315" ht="13.55" customHeight="1">
      <c r="A315" s="56">
        <v>45614</v>
      </c>
      <c r="B315" t="s" s="57">
        <v>20</v>
      </c>
      <c r="C315" t="s" s="57">
        <v>81</v>
      </c>
      <c r="D315" t="s" s="57">
        <v>16</v>
      </c>
      <c r="E315" s="58">
        <v>13</v>
      </c>
      <c r="F315" s="59">
        <v>52574</v>
      </c>
      <c r="G315" s="59" cm="1">
        <f t="array" ref="G315">E315*F315</f>
        <v>683462</v>
      </c>
      <c r="H315" s="58" cm="1">
        <f t="array" ref="H315">YEAR(A315)</f>
        <v>2024</v>
      </c>
      <c r="I315" t="str" s="60" cm="1">
        <f t="array" ref="I315">"Q"&amp;ROUNDUP(MONTH(A315)/3,0)</f>
        <v>Q4</v>
      </c>
      <c r="J315" t="s" s="57">
        <v>48</v>
      </c>
    </row>
    <row r="316" ht="13.55" customHeight="1">
      <c r="A316" s="51">
        <v>45614</v>
      </c>
      <c r="B316" t="s" s="52">
        <v>21</v>
      </c>
      <c r="C316" t="s" s="52">
        <v>78</v>
      </c>
      <c r="D316" t="s" s="52">
        <v>15</v>
      </c>
      <c r="E316" s="53">
        <v>8</v>
      </c>
      <c r="F316" s="54">
        <v>77518</v>
      </c>
      <c r="G316" s="54" cm="1">
        <f t="array" ref="G316">E316*F316</f>
        <v>620144</v>
      </c>
      <c r="H316" s="53" cm="1">
        <f t="array" ref="H316">YEAR(A316)</f>
        <v>2024</v>
      </c>
      <c r="I316" t="str" s="55" cm="1">
        <f t="array" ref="I316">"Q"&amp;ROUNDUP(MONTH(A316)/3,0)</f>
        <v>Q4</v>
      </c>
      <c r="J316" t="s" s="52">
        <v>48</v>
      </c>
    </row>
    <row r="317" ht="13.55" customHeight="1">
      <c r="A317" s="56">
        <v>45616</v>
      </c>
      <c r="B317" t="s" s="57">
        <v>20</v>
      </c>
      <c r="C317" t="s" s="57">
        <v>83</v>
      </c>
      <c r="D317" t="s" s="57">
        <v>18</v>
      </c>
      <c r="E317" s="58">
        <v>5</v>
      </c>
      <c r="F317" s="59">
        <v>68400</v>
      </c>
      <c r="G317" s="59" cm="1">
        <f t="array" ref="G317">E317*F317</f>
        <v>342000</v>
      </c>
      <c r="H317" s="58" cm="1">
        <f t="array" ref="H317">YEAR(A317)</f>
        <v>2024</v>
      </c>
      <c r="I317" t="str" s="60" cm="1">
        <f t="array" ref="I317">"Q"&amp;ROUNDUP(MONTH(A317)/3,0)</f>
        <v>Q4</v>
      </c>
      <c r="J317" t="s" s="57">
        <v>48</v>
      </c>
    </row>
    <row r="318" ht="13.55" customHeight="1">
      <c r="A318" s="51">
        <v>45617</v>
      </c>
      <c r="B318" t="s" s="52">
        <v>21</v>
      </c>
      <c r="C318" t="s" s="52">
        <v>84</v>
      </c>
      <c r="D318" t="s" s="52">
        <v>17</v>
      </c>
      <c r="E318" s="53">
        <v>2</v>
      </c>
      <c r="F318" s="54">
        <v>29123</v>
      </c>
      <c r="G318" s="54" cm="1">
        <f t="array" ref="G318">E318*F318</f>
        <v>58246</v>
      </c>
      <c r="H318" s="53" cm="1">
        <f t="array" ref="H318">YEAR(A318)</f>
        <v>2024</v>
      </c>
      <c r="I318" t="str" s="55" cm="1">
        <f t="array" ref="I318">"Q"&amp;ROUNDUP(MONTH(A318)/3,0)</f>
        <v>Q4</v>
      </c>
      <c r="J318" t="s" s="52">
        <v>48</v>
      </c>
    </row>
    <row r="319" ht="13.55" customHeight="1">
      <c r="A319" s="56">
        <v>45618</v>
      </c>
      <c r="B319" t="s" s="57">
        <v>20</v>
      </c>
      <c r="C319" t="s" s="57">
        <v>81</v>
      </c>
      <c r="D319" t="s" s="57">
        <v>15</v>
      </c>
      <c r="E319" s="58">
        <v>15</v>
      </c>
      <c r="F319" s="59">
        <v>75204</v>
      </c>
      <c r="G319" s="59" cm="1">
        <f t="array" ref="G319">E319*F319</f>
        <v>1128060</v>
      </c>
      <c r="H319" s="58" cm="1">
        <f t="array" ref="H319">YEAR(A319)</f>
        <v>2024</v>
      </c>
      <c r="I319" t="str" s="60" cm="1">
        <f t="array" ref="I319">"Q"&amp;ROUNDUP(MONTH(A319)/3,0)</f>
        <v>Q4</v>
      </c>
      <c r="J319" t="s" s="57">
        <v>48</v>
      </c>
    </row>
    <row r="320" ht="13.55" customHeight="1">
      <c r="A320" s="51">
        <v>45621</v>
      </c>
      <c r="B320" t="s" s="52">
        <v>22</v>
      </c>
      <c r="C320" t="s" s="52">
        <v>80</v>
      </c>
      <c r="D320" t="s" s="52">
        <v>17</v>
      </c>
      <c r="E320" s="53">
        <v>13</v>
      </c>
      <c r="F320" s="54">
        <v>23279</v>
      </c>
      <c r="G320" s="54" cm="1">
        <f t="array" ref="G320">E320*F320</f>
        <v>302627</v>
      </c>
      <c r="H320" s="53" cm="1">
        <f t="array" ref="H320">YEAR(A320)</f>
        <v>2024</v>
      </c>
      <c r="I320" t="str" s="55" cm="1">
        <f t="array" ref="I320">"Q"&amp;ROUNDUP(MONTH(A320)/3,0)</f>
        <v>Q4</v>
      </c>
      <c r="J320" t="s" s="52">
        <v>48</v>
      </c>
    </row>
    <row r="321" ht="13.55" customHeight="1">
      <c r="A321" s="56">
        <v>45622</v>
      </c>
      <c r="B321" t="s" s="57">
        <v>20</v>
      </c>
      <c r="C321" t="s" s="57">
        <v>80</v>
      </c>
      <c r="D321" t="s" s="57">
        <v>15</v>
      </c>
      <c r="E321" s="58">
        <v>15</v>
      </c>
      <c r="F321" s="59">
        <v>36802</v>
      </c>
      <c r="G321" s="59" cm="1">
        <f t="array" ref="G321">E321*F321</f>
        <v>552030</v>
      </c>
      <c r="H321" s="58" cm="1">
        <f t="array" ref="H321">YEAR(A321)</f>
        <v>2024</v>
      </c>
      <c r="I321" t="str" s="60" cm="1">
        <f t="array" ref="I321">"Q"&amp;ROUNDUP(MONTH(A321)/3,0)</f>
        <v>Q4</v>
      </c>
      <c r="J321" t="s" s="57">
        <v>48</v>
      </c>
    </row>
    <row r="322" ht="13.55" customHeight="1">
      <c r="A322" s="51">
        <v>45622</v>
      </c>
      <c r="B322" t="s" s="52">
        <v>23</v>
      </c>
      <c r="C322" t="s" s="52">
        <v>82</v>
      </c>
      <c r="D322" t="s" s="52">
        <v>16</v>
      </c>
      <c r="E322" s="53">
        <v>2</v>
      </c>
      <c r="F322" s="54">
        <v>51313</v>
      </c>
      <c r="G322" s="54" cm="1">
        <f t="array" ref="G322">E322*F322</f>
        <v>102626</v>
      </c>
      <c r="H322" s="53" cm="1">
        <f t="array" ref="H322">YEAR(A322)</f>
        <v>2024</v>
      </c>
      <c r="I322" t="str" s="55" cm="1">
        <f t="array" ref="I322">"Q"&amp;ROUNDUP(MONTH(A322)/3,0)</f>
        <v>Q4</v>
      </c>
      <c r="J322" t="s" s="52">
        <v>48</v>
      </c>
    </row>
    <row r="323" ht="13.55" customHeight="1">
      <c r="A323" s="56">
        <v>45627</v>
      </c>
      <c r="B323" t="s" s="57">
        <v>21</v>
      </c>
      <c r="C323" t="s" s="57">
        <v>81</v>
      </c>
      <c r="D323" t="s" s="57">
        <v>18</v>
      </c>
      <c r="E323" s="58">
        <v>9</v>
      </c>
      <c r="F323" s="59">
        <v>25862</v>
      </c>
      <c r="G323" s="59" cm="1">
        <f t="array" ref="G323">E323*F323</f>
        <v>232758</v>
      </c>
      <c r="H323" s="58" cm="1">
        <f t="array" ref="H323">YEAR(A323)</f>
        <v>2024</v>
      </c>
      <c r="I323" t="str" s="60" cm="1">
        <f t="array" ref="I323">"Q"&amp;ROUNDUP(MONTH(A323)/3,0)</f>
        <v>Q4</v>
      </c>
      <c r="J323" t="s" s="57">
        <v>50</v>
      </c>
    </row>
    <row r="324" ht="13.55" customHeight="1">
      <c r="A324" s="51">
        <v>45629</v>
      </c>
      <c r="B324" t="s" s="52">
        <v>21</v>
      </c>
      <c r="C324" t="s" s="52">
        <v>78</v>
      </c>
      <c r="D324" t="s" s="52">
        <v>16</v>
      </c>
      <c r="E324" s="53">
        <v>17</v>
      </c>
      <c r="F324" s="54">
        <v>42701</v>
      </c>
      <c r="G324" s="54" cm="1">
        <f t="array" ref="G324">E324*F324</f>
        <v>725917</v>
      </c>
      <c r="H324" s="53" cm="1">
        <f t="array" ref="H324">YEAR(A324)</f>
        <v>2024</v>
      </c>
      <c r="I324" t="str" s="55" cm="1">
        <f t="array" ref="I324">"Q"&amp;ROUNDUP(MONTH(A324)/3,0)</f>
        <v>Q4</v>
      </c>
      <c r="J324" t="s" s="52">
        <v>50</v>
      </c>
    </row>
    <row r="325" ht="13.55" customHeight="1">
      <c r="A325" s="56">
        <v>45629</v>
      </c>
      <c r="B325" t="s" s="57">
        <v>20</v>
      </c>
      <c r="C325" t="s" s="57">
        <v>82</v>
      </c>
      <c r="D325" t="s" s="57">
        <v>17</v>
      </c>
      <c r="E325" s="58">
        <v>4</v>
      </c>
      <c r="F325" s="59">
        <v>64197</v>
      </c>
      <c r="G325" s="59" cm="1">
        <f t="array" ref="G325">E325*F325</f>
        <v>256788</v>
      </c>
      <c r="H325" s="58" cm="1">
        <f t="array" ref="H325">YEAR(A325)</f>
        <v>2024</v>
      </c>
      <c r="I325" t="str" s="60" cm="1">
        <f t="array" ref="I325">"Q"&amp;ROUNDUP(MONTH(A325)/3,0)</f>
        <v>Q4</v>
      </c>
      <c r="J325" t="s" s="57">
        <v>50</v>
      </c>
    </row>
    <row r="326" ht="13.55" customHeight="1">
      <c r="A326" s="51">
        <v>45629</v>
      </c>
      <c r="B326" t="s" s="52">
        <v>22</v>
      </c>
      <c r="C326" t="s" s="52">
        <v>84</v>
      </c>
      <c r="D326" t="s" s="52">
        <v>17</v>
      </c>
      <c r="E326" s="53">
        <v>2</v>
      </c>
      <c r="F326" s="54">
        <v>71897</v>
      </c>
      <c r="G326" s="54" cm="1">
        <f t="array" ref="G326">E326*F326</f>
        <v>143794</v>
      </c>
      <c r="H326" s="53" cm="1">
        <f t="array" ref="H326">YEAR(A326)</f>
        <v>2024</v>
      </c>
      <c r="I326" t="str" s="55" cm="1">
        <f t="array" ref="I326">"Q"&amp;ROUNDUP(MONTH(A326)/3,0)</f>
        <v>Q4</v>
      </c>
      <c r="J326" t="s" s="52">
        <v>50</v>
      </c>
    </row>
    <row r="327" ht="13.55" customHeight="1">
      <c r="A327" s="56">
        <v>45630</v>
      </c>
      <c r="B327" t="s" s="57">
        <v>20</v>
      </c>
      <c r="C327" t="s" s="57">
        <v>80</v>
      </c>
      <c r="D327" t="s" s="57">
        <v>17</v>
      </c>
      <c r="E327" s="58">
        <v>7</v>
      </c>
      <c r="F327" s="59">
        <v>47946</v>
      </c>
      <c r="G327" s="59" cm="1">
        <f t="array" ref="G327">E327*F327</f>
        <v>335622</v>
      </c>
      <c r="H327" s="58" cm="1">
        <f t="array" ref="H327">YEAR(A327)</f>
        <v>2024</v>
      </c>
      <c r="I327" t="str" s="60" cm="1">
        <f t="array" ref="I327">"Q"&amp;ROUNDUP(MONTH(A327)/3,0)</f>
        <v>Q4</v>
      </c>
      <c r="J327" t="s" s="57">
        <v>50</v>
      </c>
    </row>
    <row r="328" ht="13.55" customHeight="1">
      <c r="A328" s="51">
        <v>45631</v>
      </c>
      <c r="B328" t="s" s="52">
        <v>23</v>
      </c>
      <c r="C328" t="s" s="52">
        <v>81</v>
      </c>
      <c r="D328" t="s" s="52">
        <v>16</v>
      </c>
      <c r="E328" s="53">
        <v>9</v>
      </c>
      <c r="F328" s="54">
        <v>67912</v>
      </c>
      <c r="G328" s="54" cm="1">
        <f t="array" ref="G328">E328*F328</f>
        <v>611208</v>
      </c>
      <c r="H328" s="53" cm="1">
        <f t="array" ref="H328">YEAR(A328)</f>
        <v>2024</v>
      </c>
      <c r="I328" t="str" s="55" cm="1">
        <f t="array" ref="I328">"Q"&amp;ROUNDUP(MONTH(A328)/3,0)</f>
        <v>Q4</v>
      </c>
      <c r="J328" t="s" s="52">
        <v>50</v>
      </c>
    </row>
    <row r="329" ht="13.55" customHeight="1">
      <c r="A329" s="56">
        <v>45631</v>
      </c>
      <c r="B329" t="s" s="57">
        <v>21</v>
      </c>
      <c r="C329" t="s" s="57">
        <v>83</v>
      </c>
      <c r="D329" t="s" s="57">
        <v>18</v>
      </c>
      <c r="E329" s="58">
        <v>3</v>
      </c>
      <c r="F329" s="59">
        <v>26113</v>
      </c>
      <c r="G329" s="59" cm="1">
        <f t="array" ref="G329">E329*F329</f>
        <v>78339</v>
      </c>
      <c r="H329" s="58" cm="1">
        <f t="array" ref="H329">YEAR(A329)</f>
        <v>2024</v>
      </c>
      <c r="I329" t="str" s="60" cm="1">
        <f t="array" ref="I329">"Q"&amp;ROUNDUP(MONTH(A329)/3,0)</f>
        <v>Q4</v>
      </c>
      <c r="J329" t="s" s="57">
        <v>50</v>
      </c>
    </row>
    <row r="330" ht="13.55" customHeight="1">
      <c r="A330" s="51">
        <v>45632</v>
      </c>
      <c r="B330" t="s" s="52">
        <v>20</v>
      </c>
      <c r="C330" t="s" s="52">
        <v>82</v>
      </c>
      <c r="D330" t="s" s="52">
        <v>15</v>
      </c>
      <c r="E330" s="53">
        <v>7</v>
      </c>
      <c r="F330" s="54">
        <v>72231</v>
      </c>
      <c r="G330" s="54" cm="1">
        <f t="array" ref="G330">E330*F330</f>
        <v>505617</v>
      </c>
      <c r="H330" s="53" cm="1">
        <f t="array" ref="H330">YEAR(A330)</f>
        <v>2024</v>
      </c>
      <c r="I330" t="str" s="55" cm="1">
        <f t="array" ref="I330">"Q"&amp;ROUNDUP(MONTH(A330)/3,0)</f>
        <v>Q4</v>
      </c>
      <c r="J330" t="s" s="52">
        <v>50</v>
      </c>
    </row>
    <row r="331" ht="13.55" customHeight="1">
      <c r="A331" s="56">
        <v>45633</v>
      </c>
      <c r="B331" t="s" s="57">
        <v>21</v>
      </c>
      <c r="C331" t="s" s="57">
        <v>82</v>
      </c>
      <c r="D331" t="s" s="57">
        <v>16</v>
      </c>
      <c r="E331" s="58">
        <v>5</v>
      </c>
      <c r="F331" s="59">
        <v>32323</v>
      </c>
      <c r="G331" s="59" cm="1">
        <f t="array" ref="G331">E331*F331</f>
        <v>161615</v>
      </c>
      <c r="H331" s="58" cm="1">
        <f t="array" ref="H331">YEAR(A331)</f>
        <v>2024</v>
      </c>
      <c r="I331" t="str" s="60" cm="1">
        <f t="array" ref="I331">"Q"&amp;ROUNDUP(MONTH(A331)/3,0)</f>
        <v>Q4</v>
      </c>
      <c r="J331" t="s" s="57">
        <v>50</v>
      </c>
    </row>
    <row r="332" ht="13.55" customHeight="1">
      <c r="A332" s="51">
        <v>45633</v>
      </c>
      <c r="B332" t="s" s="52">
        <v>22</v>
      </c>
      <c r="C332" t="s" s="52">
        <v>81</v>
      </c>
      <c r="D332" t="s" s="52">
        <v>18</v>
      </c>
      <c r="E332" s="53">
        <v>3</v>
      </c>
      <c r="F332" s="54">
        <v>38776</v>
      </c>
      <c r="G332" s="54" cm="1">
        <f t="array" ref="G332">E332*F332</f>
        <v>116328</v>
      </c>
      <c r="H332" s="53" cm="1">
        <f t="array" ref="H332">YEAR(A332)</f>
        <v>2024</v>
      </c>
      <c r="I332" t="str" s="55" cm="1">
        <f t="array" ref="I332">"Q"&amp;ROUNDUP(MONTH(A332)/3,0)</f>
        <v>Q4</v>
      </c>
      <c r="J332" t="s" s="52">
        <v>50</v>
      </c>
    </row>
    <row r="333" ht="13.55" customHeight="1">
      <c r="A333" s="56">
        <v>45633</v>
      </c>
      <c r="B333" t="s" s="57">
        <v>23</v>
      </c>
      <c r="C333" t="s" s="57">
        <v>80</v>
      </c>
      <c r="D333" t="s" s="57">
        <v>17</v>
      </c>
      <c r="E333" s="58">
        <v>19</v>
      </c>
      <c r="F333" s="59">
        <v>74681</v>
      </c>
      <c r="G333" s="59" cm="1">
        <f t="array" ref="G333">E333*F333</f>
        <v>1418939</v>
      </c>
      <c r="H333" s="58" cm="1">
        <f t="array" ref="H333">YEAR(A333)</f>
        <v>2024</v>
      </c>
      <c r="I333" t="str" s="60" cm="1">
        <f t="array" ref="I333">"Q"&amp;ROUNDUP(MONTH(A333)/3,0)</f>
        <v>Q4</v>
      </c>
      <c r="J333" t="s" s="57">
        <v>50</v>
      </c>
    </row>
    <row r="334" ht="13.55" customHeight="1">
      <c r="A334" s="51">
        <v>45635</v>
      </c>
      <c r="B334" t="s" s="52">
        <v>20</v>
      </c>
      <c r="C334" t="s" s="52">
        <v>80</v>
      </c>
      <c r="D334" t="s" s="52">
        <v>18</v>
      </c>
      <c r="E334" s="53">
        <v>8</v>
      </c>
      <c r="F334" s="54">
        <v>24296</v>
      </c>
      <c r="G334" s="54" cm="1">
        <f t="array" ref="G334">E334*F334</f>
        <v>194368</v>
      </c>
      <c r="H334" s="53" cm="1">
        <f t="array" ref="H334">YEAR(A334)</f>
        <v>2024</v>
      </c>
      <c r="I334" t="str" s="55" cm="1">
        <f t="array" ref="I334">"Q"&amp;ROUNDUP(MONTH(A334)/3,0)</f>
        <v>Q4</v>
      </c>
      <c r="J334" t="s" s="52">
        <v>50</v>
      </c>
    </row>
    <row r="335" ht="13.55" customHeight="1">
      <c r="A335" s="56">
        <v>45635</v>
      </c>
      <c r="B335" t="s" s="57">
        <v>20</v>
      </c>
      <c r="C335" t="s" s="57">
        <v>78</v>
      </c>
      <c r="D335" t="s" s="57">
        <v>16</v>
      </c>
      <c r="E335" s="58">
        <v>15</v>
      </c>
      <c r="F335" s="59">
        <v>59845</v>
      </c>
      <c r="G335" s="59" cm="1">
        <f t="array" ref="G335">E335*F335</f>
        <v>897675</v>
      </c>
      <c r="H335" s="58" cm="1">
        <f t="array" ref="H335">YEAR(A335)</f>
        <v>2024</v>
      </c>
      <c r="I335" t="str" s="60" cm="1">
        <f t="array" ref="I335">"Q"&amp;ROUNDUP(MONTH(A335)/3,0)</f>
        <v>Q4</v>
      </c>
      <c r="J335" t="s" s="57">
        <v>50</v>
      </c>
    </row>
    <row r="336" ht="13.55" customHeight="1">
      <c r="A336" s="51">
        <v>45637</v>
      </c>
      <c r="B336" t="s" s="52">
        <v>20</v>
      </c>
      <c r="C336" t="s" s="52">
        <v>81</v>
      </c>
      <c r="D336" t="s" s="52">
        <v>15</v>
      </c>
      <c r="E336" s="53">
        <v>14</v>
      </c>
      <c r="F336" s="54">
        <v>53008</v>
      </c>
      <c r="G336" s="54" cm="1">
        <f t="array" ref="G336">E336*F336</f>
        <v>742112</v>
      </c>
      <c r="H336" s="53" cm="1">
        <f t="array" ref="H336">YEAR(A336)</f>
        <v>2024</v>
      </c>
      <c r="I336" t="str" s="55" cm="1">
        <f t="array" ref="I336">"Q"&amp;ROUNDUP(MONTH(A336)/3,0)</f>
        <v>Q4</v>
      </c>
      <c r="J336" t="s" s="52">
        <v>50</v>
      </c>
    </row>
    <row r="337" ht="13.55" customHeight="1">
      <c r="A337" s="56">
        <v>45637</v>
      </c>
      <c r="B337" t="s" s="57">
        <v>22</v>
      </c>
      <c r="C337" t="s" s="57">
        <v>80</v>
      </c>
      <c r="D337" t="s" s="57">
        <v>16</v>
      </c>
      <c r="E337" s="58">
        <v>2</v>
      </c>
      <c r="F337" s="59">
        <v>6813</v>
      </c>
      <c r="G337" s="59" cm="1">
        <f t="array" ref="G337">E337*F337</f>
        <v>13626</v>
      </c>
      <c r="H337" s="58" cm="1">
        <f t="array" ref="H337">YEAR(A337)</f>
        <v>2024</v>
      </c>
      <c r="I337" t="str" s="60" cm="1">
        <f t="array" ref="I337">"Q"&amp;ROUNDUP(MONTH(A337)/3,0)</f>
        <v>Q4</v>
      </c>
      <c r="J337" t="s" s="57">
        <v>50</v>
      </c>
    </row>
    <row r="338" ht="13.55" customHeight="1">
      <c r="A338" s="51">
        <v>45637</v>
      </c>
      <c r="B338" t="s" s="52">
        <v>21</v>
      </c>
      <c r="C338" t="s" s="52">
        <v>82</v>
      </c>
      <c r="D338" t="s" s="52">
        <v>16</v>
      </c>
      <c r="E338" s="53">
        <v>11</v>
      </c>
      <c r="F338" s="54">
        <v>31069</v>
      </c>
      <c r="G338" s="54" cm="1">
        <f t="array" ref="G338">E338*F338</f>
        <v>341759</v>
      </c>
      <c r="H338" s="53" cm="1">
        <f t="array" ref="H338">YEAR(A338)</f>
        <v>2024</v>
      </c>
      <c r="I338" t="str" s="55" cm="1">
        <f t="array" ref="I338">"Q"&amp;ROUNDUP(MONTH(A338)/3,0)</f>
        <v>Q4</v>
      </c>
      <c r="J338" t="s" s="52">
        <v>50</v>
      </c>
    </row>
    <row r="339" ht="13.55" customHeight="1">
      <c r="A339" s="56">
        <v>45637</v>
      </c>
      <c r="B339" t="s" s="57">
        <v>22</v>
      </c>
      <c r="C339" t="s" s="57">
        <v>83</v>
      </c>
      <c r="D339" t="s" s="57">
        <v>17</v>
      </c>
      <c r="E339" s="58">
        <v>18</v>
      </c>
      <c r="F339" s="59">
        <v>24583</v>
      </c>
      <c r="G339" s="59" cm="1">
        <f t="array" ref="G339">E339*F339</f>
        <v>442494</v>
      </c>
      <c r="H339" s="58" cm="1">
        <f t="array" ref="H339">YEAR(A339)</f>
        <v>2024</v>
      </c>
      <c r="I339" t="str" s="60" cm="1">
        <f t="array" ref="I339">"Q"&amp;ROUNDUP(MONTH(A339)/3,0)</f>
        <v>Q4</v>
      </c>
      <c r="J339" t="s" s="57">
        <v>50</v>
      </c>
    </row>
    <row r="340" ht="13.55" customHeight="1">
      <c r="A340" s="51">
        <v>45639</v>
      </c>
      <c r="B340" t="s" s="52">
        <v>22</v>
      </c>
      <c r="C340" t="s" s="52">
        <v>78</v>
      </c>
      <c r="D340" t="s" s="52">
        <v>16</v>
      </c>
      <c r="E340" s="53">
        <v>12</v>
      </c>
      <c r="F340" s="54">
        <v>54298</v>
      </c>
      <c r="G340" s="54" cm="1">
        <f t="array" ref="G340">E340*F340</f>
        <v>651576</v>
      </c>
      <c r="H340" s="53" cm="1">
        <f t="array" ref="H340">YEAR(A340)</f>
        <v>2024</v>
      </c>
      <c r="I340" t="str" s="55" cm="1">
        <f t="array" ref="I340">"Q"&amp;ROUNDUP(MONTH(A340)/3,0)</f>
        <v>Q4</v>
      </c>
      <c r="J340" t="s" s="52">
        <v>50</v>
      </c>
    </row>
    <row r="341" ht="13.55" customHeight="1">
      <c r="A341" s="56">
        <v>45639</v>
      </c>
      <c r="B341" t="s" s="57">
        <v>23</v>
      </c>
      <c r="C341" t="s" s="57">
        <v>78</v>
      </c>
      <c r="D341" t="s" s="57">
        <v>17</v>
      </c>
      <c r="E341" s="58">
        <v>16</v>
      </c>
      <c r="F341" s="59">
        <v>79960</v>
      </c>
      <c r="G341" s="59" cm="1">
        <f t="array" ref="G341">E341*F341</f>
        <v>1279360</v>
      </c>
      <c r="H341" s="58" cm="1">
        <f t="array" ref="H341">YEAR(A341)</f>
        <v>2024</v>
      </c>
      <c r="I341" t="str" s="60" cm="1">
        <f t="array" ref="I341">"Q"&amp;ROUNDUP(MONTH(A341)/3,0)</f>
        <v>Q4</v>
      </c>
      <c r="J341" t="s" s="57">
        <v>50</v>
      </c>
    </row>
    <row r="342" ht="13.55" customHeight="1">
      <c r="A342" s="51">
        <v>45639</v>
      </c>
      <c r="B342" t="s" s="52">
        <v>23</v>
      </c>
      <c r="C342" t="s" s="52">
        <v>81</v>
      </c>
      <c r="D342" t="s" s="52">
        <v>18</v>
      </c>
      <c r="E342" s="53">
        <v>3</v>
      </c>
      <c r="F342" s="54">
        <v>44791</v>
      </c>
      <c r="G342" s="54" cm="1">
        <f t="array" ref="G342">E342*F342</f>
        <v>134373</v>
      </c>
      <c r="H342" s="53" cm="1">
        <f t="array" ref="H342">YEAR(A342)</f>
        <v>2024</v>
      </c>
      <c r="I342" t="str" s="55" cm="1">
        <f t="array" ref="I342">"Q"&amp;ROUNDUP(MONTH(A342)/3,0)</f>
        <v>Q4</v>
      </c>
      <c r="J342" t="s" s="52">
        <v>50</v>
      </c>
    </row>
    <row r="343" ht="13.55" customHeight="1">
      <c r="A343" s="56">
        <v>45640</v>
      </c>
      <c r="B343" t="s" s="57">
        <v>23</v>
      </c>
      <c r="C343" t="s" s="57">
        <v>81</v>
      </c>
      <c r="D343" t="s" s="57">
        <v>18</v>
      </c>
      <c r="E343" s="58">
        <v>19</v>
      </c>
      <c r="F343" s="59">
        <v>13026</v>
      </c>
      <c r="G343" s="59" cm="1">
        <f t="array" ref="G343">E343*F343</f>
        <v>247494</v>
      </c>
      <c r="H343" s="58" cm="1">
        <f t="array" ref="H343">YEAR(A343)</f>
        <v>2024</v>
      </c>
      <c r="I343" t="str" s="60" cm="1">
        <f t="array" ref="I343">"Q"&amp;ROUNDUP(MONTH(A343)/3,0)</f>
        <v>Q4</v>
      </c>
      <c r="J343" t="s" s="57">
        <v>50</v>
      </c>
    </row>
    <row r="344" ht="13.55" customHeight="1">
      <c r="A344" s="51">
        <v>45640</v>
      </c>
      <c r="B344" t="s" s="52">
        <v>22</v>
      </c>
      <c r="C344" t="s" s="52">
        <v>83</v>
      </c>
      <c r="D344" t="s" s="52">
        <v>18</v>
      </c>
      <c r="E344" s="53">
        <v>16</v>
      </c>
      <c r="F344" s="54">
        <v>27164</v>
      </c>
      <c r="G344" s="54" cm="1">
        <f t="array" ref="G344">E344*F344</f>
        <v>434624</v>
      </c>
      <c r="H344" s="53" cm="1">
        <f t="array" ref="H344">YEAR(A344)</f>
        <v>2024</v>
      </c>
      <c r="I344" t="str" s="55" cm="1">
        <f t="array" ref="I344">"Q"&amp;ROUNDUP(MONTH(A344)/3,0)</f>
        <v>Q4</v>
      </c>
      <c r="J344" t="s" s="52">
        <v>50</v>
      </c>
    </row>
    <row r="345" ht="13.55" customHeight="1">
      <c r="A345" s="56">
        <v>45641</v>
      </c>
      <c r="B345" t="s" s="57">
        <v>20</v>
      </c>
      <c r="C345" t="s" s="57">
        <v>81</v>
      </c>
      <c r="D345" t="s" s="57">
        <v>15</v>
      </c>
      <c r="E345" s="58">
        <v>18</v>
      </c>
      <c r="F345" s="59">
        <v>16349</v>
      </c>
      <c r="G345" s="59" cm="1">
        <f t="array" ref="G345">E345*F345</f>
        <v>294282</v>
      </c>
      <c r="H345" s="58" cm="1">
        <f t="array" ref="H345">YEAR(A345)</f>
        <v>2024</v>
      </c>
      <c r="I345" t="str" s="60" cm="1">
        <f t="array" ref="I345">"Q"&amp;ROUNDUP(MONTH(A345)/3,0)</f>
        <v>Q4</v>
      </c>
      <c r="J345" t="s" s="57">
        <v>50</v>
      </c>
    </row>
    <row r="346" ht="13.55" customHeight="1">
      <c r="A346" s="51">
        <v>45645</v>
      </c>
      <c r="B346" t="s" s="52">
        <v>21</v>
      </c>
      <c r="C346" t="s" s="52">
        <v>78</v>
      </c>
      <c r="D346" t="s" s="52">
        <v>18</v>
      </c>
      <c r="E346" s="53">
        <v>5</v>
      </c>
      <c r="F346" s="54">
        <v>38998</v>
      </c>
      <c r="G346" s="54" cm="1">
        <f t="array" ref="G346">E346*F346</f>
        <v>194990</v>
      </c>
      <c r="H346" s="53" cm="1">
        <f t="array" ref="H346">YEAR(A346)</f>
        <v>2024</v>
      </c>
      <c r="I346" t="str" s="55" cm="1">
        <f t="array" ref="I346">"Q"&amp;ROUNDUP(MONTH(A346)/3,0)</f>
        <v>Q4</v>
      </c>
      <c r="J346" t="s" s="52">
        <v>50</v>
      </c>
    </row>
    <row r="347" ht="13.55" customHeight="1">
      <c r="A347" s="56">
        <v>45648</v>
      </c>
      <c r="B347" t="s" s="57">
        <v>20</v>
      </c>
      <c r="C347" t="s" s="57">
        <v>78</v>
      </c>
      <c r="D347" t="s" s="57">
        <v>15</v>
      </c>
      <c r="E347" s="58">
        <v>8</v>
      </c>
      <c r="F347" s="59">
        <v>11901</v>
      </c>
      <c r="G347" s="59" cm="1">
        <f t="array" ref="G347">E347*F347</f>
        <v>95208</v>
      </c>
      <c r="H347" s="58" cm="1">
        <f t="array" ref="H347">YEAR(A347)</f>
        <v>2024</v>
      </c>
      <c r="I347" t="str" s="60" cm="1">
        <f t="array" ref="I347">"Q"&amp;ROUNDUP(MONTH(A347)/3,0)</f>
        <v>Q4</v>
      </c>
      <c r="J347" t="s" s="57">
        <v>50</v>
      </c>
    </row>
    <row r="348" ht="13.55" customHeight="1">
      <c r="A348" s="51">
        <v>45649</v>
      </c>
      <c r="B348" t="s" s="52">
        <v>20</v>
      </c>
      <c r="C348" t="s" s="52">
        <v>81</v>
      </c>
      <c r="D348" t="s" s="52">
        <v>16</v>
      </c>
      <c r="E348" s="53">
        <v>15</v>
      </c>
      <c r="F348" s="54">
        <v>66584</v>
      </c>
      <c r="G348" s="54" cm="1">
        <f t="array" ref="G348">E348*F348</f>
        <v>998760</v>
      </c>
      <c r="H348" s="53" cm="1">
        <f t="array" ref="H348">YEAR(A348)</f>
        <v>2024</v>
      </c>
      <c r="I348" t="str" s="55" cm="1">
        <f t="array" ref="I348">"Q"&amp;ROUNDUP(MONTH(A348)/3,0)</f>
        <v>Q4</v>
      </c>
      <c r="J348" t="s" s="52">
        <v>50</v>
      </c>
    </row>
    <row r="349" ht="13.55" customHeight="1">
      <c r="A349" s="56">
        <v>45650</v>
      </c>
      <c r="B349" t="s" s="57">
        <v>23</v>
      </c>
      <c r="C349" t="s" s="57">
        <v>82</v>
      </c>
      <c r="D349" t="s" s="57">
        <v>17</v>
      </c>
      <c r="E349" s="58">
        <v>9</v>
      </c>
      <c r="F349" s="59">
        <v>6920</v>
      </c>
      <c r="G349" s="59" cm="1">
        <f t="array" ref="G349">E349*F349</f>
        <v>62280</v>
      </c>
      <c r="H349" s="58" cm="1">
        <f t="array" ref="H349">YEAR(A349)</f>
        <v>2024</v>
      </c>
      <c r="I349" t="str" s="60" cm="1">
        <f t="array" ref="I349">"Q"&amp;ROUNDUP(MONTH(A349)/3,0)</f>
        <v>Q4</v>
      </c>
      <c r="J349" t="s" s="57">
        <v>50</v>
      </c>
    </row>
    <row r="350" ht="13.55" customHeight="1">
      <c r="A350" s="51">
        <v>45652</v>
      </c>
      <c r="B350" t="s" s="52">
        <v>22</v>
      </c>
      <c r="C350" t="s" s="52">
        <v>82</v>
      </c>
      <c r="D350" t="s" s="52">
        <v>15</v>
      </c>
      <c r="E350" s="53">
        <v>18</v>
      </c>
      <c r="F350" s="54">
        <v>53617</v>
      </c>
      <c r="G350" s="54" cm="1">
        <f t="array" ref="G350">E350*F350</f>
        <v>965106</v>
      </c>
      <c r="H350" s="53" cm="1">
        <f t="array" ref="H350">YEAR(A350)</f>
        <v>2024</v>
      </c>
      <c r="I350" t="str" s="55" cm="1">
        <f t="array" ref="I350">"Q"&amp;ROUNDUP(MONTH(A350)/3,0)</f>
        <v>Q4</v>
      </c>
      <c r="J350" t="s" s="52">
        <v>50</v>
      </c>
    </row>
    <row r="351" ht="13.55" customHeight="1">
      <c r="A351" s="56">
        <v>45656</v>
      </c>
      <c r="B351" t="s" s="57">
        <v>21</v>
      </c>
      <c r="C351" t="s" s="57">
        <v>84</v>
      </c>
      <c r="D351" t="s" s="57">
        <v>17</v>
      </c>
      <c r="E351" s="58">
        <v>4</v>
      </c>
      <c r="F351" s="59">
        <v>58592</v>
      </c>
      <c r="G351" s="59" cm="1">
        <f t="array" ref="G351">E351*F351</f>
        <v>234368</v>
      </c>
      <c r="H351" s="58" cm="1">
        <f t="array" ref="H351">YEAR(A351)</f>
        <v>2024</v>
      </c>
      <c r="I351" t="str" s="60" cm="1">
        <f t="array" ref="I351">"Q"&amp;ROUNDUP(MONTH(A351)/3,0)</f>
        <v>Q4</v>
      </c>
      <c r="J351" t="s" s="57">
        <v>50</v>
      </c>
    </row>
    <row r="352" ht="13.55" customHeight="1">
      <c r="A352" s="51">
        <v>45656</v>
      </c>
      <c r="B352" t="s" s="52">
        <v>20</v>
      </c>
      <c r="C352" t="s" s="52">
        <v>83</v>
      </c>
      <c r="D352" t="s" s="52">
        <v>16</v>
      </c>
      <c r="E352" s="53">
        <v>1</v>
      </c>
      <c r="F352" s="54">
        <v>28386</v>
      </c>
      <c r="G352" s="54" cm="1">
        <f t="array" ref="G352">E352*F352</f>
        <v>28386</v>
      </c>
      <c r="H352" s="53" cm="1">
        <f t="array" ref="H352">YEAR(A352)</f>
        <v>2024</v>
      </c>
      <c r="I352" t="str" s="55" cm="1">
        <f t="array" ref="I352">"Q"&amp;ROUNDUP(MONTH(A352)/3,0)</f>
        <v>Q4</v>
      </c>
      <c r="J352" t="s" s="52">
        <v>50</v>
      </c>
    </row>
    <row r="353" ht="13.55" customHeight="1">
      <c r="A353" s="56">
        <v>45658</v>
      </c>
      <c r="B353" t="s" s="57">
        <v>21</v>
      </c>
      <c r="C353" t="s" s="57">
        <v>80</v>
      </c>
      <c r="D353" t="s" s="57">
        <v>18</v>
      </c>
      <c r="E353" s="58">
        <v>17</v>
      </c>
      <c r="F353" s="59">
        <v>47051</v>
      </c>
      <c r="G353" s="59" cm="1">
        <f t="array" ref="G353">E353*F353</f>
        <v>799867</v>
      </c>
      <c r="H353" s="58" cm="1">
        <f t="array" ref="H353">YEAR(A353)</f>
        <v>2025</v>
      </c>
      <c r="I353" t="str" s="60" cm="1">
        <f t="array" ref="I353">"Q"&amp;ROUNDUP(MONTH(A353)/3,0)</f>
        <v>Q1</v>
      </c>
      <c r="J353" t="s" s="57">
        <v>51</v>
      </c>
    </row>
    <row r="354" ht="13.55" customHeight="1">
      <c r="A354" s="51">
        <v>45658</v>
      </c>
      <c r="B354" t="s" s="52">
        <v>20</v>
      </c>
      <c r="C354" t="s" s="52">
        <v>81</v>
      </c>
      <c r="D354" t="s" s="52">
        <v>15</v>
      </c>
      <c r="E354" s="53">
        <v>19</v>
      </c>
      <c r="F354" s="54">
        <v>71809</v>
      </c>
      <c r="G354" s="54" cm="1">
        <f t="array" ref="G354">E354*F354</f>
        <v>1364371</v>
      </c>
      <c r="H354" s="53" cm="1">
        <f t="array" ref="H354">YEAR(A354)</f>
        <v>2025</v>
      </c>
      <c r="I354" t="str" s="55" cm="1">
        <f t="array" ref="I354">"Q"&amp;ROUNDUP(MONTH(A354)/3,0)</f>
        <v>Q1</v>
      </c>
      <c r="J354" t="s" s="52">
        <v>51</v>
      </c>
    </row>
    <row r="355" ht="13.55" customHeight="1">
      <c r="A355" s="56">
        <v>45660</v>
      </c>
      <c r="B355" t="s" s="57">
        <v>21</v>
      </c>
      <c r="C355" t="s" s="57">
        <v>78</v>
      </c>
      <c r="D355" t="s" s="57">
        <v>15</v>
      </c>
      <c r="E355" s="58">
        <v>2</v>
      </c>
      <c r="F355" s="59">
        <v>15234</v>
      </c>
      <c r="G355" s="59" cm="1">
        <f t="array" ref="G355">E355*F355</f>
        <v>30468</v>
      </c>
      <c r="H355" s="58" cm="1">
        <f t="array" ref="H355">YEAR(A355)</f>
        <v>2025</v>
      </c>
      <c r="I355" t="str" s="60" cm="1">
        <f t="array" ref="I355">"Q"&amp;ROUNDUP(MONTH(A355)/3,0)</f>
        <v>Q1</v>
      </c>
      <c r="J355" t="s" s="57">
        <v>51</v>
      </c>
    </row>
    <row r="356" ht="13.55" customHeight="1">
      <c r="A356" s="51">
        <v>45660</v>
      </c>
      <c r="B356" t="s" s="52">
        <v>22</v>
      </c>
      <c r="C356" t="s" s="52">
        <v>84</v>
      </c>
      <c r="D356" t="s" s="52">
        <v>16</v>
      </c>
      <c r="E356" s="53">
        <v>8</v>
      </c>
      <c r="F356" s="54">
        <v>64993</v>
      </c>
      <c r="G356" s="54" cm="1">
        <f t="array" ref="G356">E356*F356</f>
        <v>519944</v>
      </c>
      <c r="H356" s="53" cm="1">
        <f t="array" ref="H356">YEAR(A356)</f>
        <v>2025</v>
      </c>
      <c r="I356" t="str" s="55" cm="1">
        <f t="array" ref="I356">"Q"&amp;ROUNDUP(MONTH(A356)/3,0)</f>
        <v>Q1</v>
      </c>
      <c r="J356" t="s" s="52">
        <v>51</v>
      </c>
    </row>
    <row r="357" ht="13.55" customHeight="1">
      <c r="A357" s="56">
        <v>45661</v>
      </c>
      <c r="B357" t="s" s="57">
        <v>21</v>
      </c>
      <c r="C357" t="s" s="57">
        <v>80</v>
      </c>
      <c r="D357" t="s" s="57">
        <v>17</v>
      </c>
      <c r="E357" s="58">
        <v>6</v>
      </c>
      <c r="F357" s="59">
        <v>20830</v>
      </c>
      <c r="G357" s="59" cm="1">
        <f t="array" ref="G357">E357*F357</f>
        <v>124980</v>
      </c>
      <c r="H357" s="58" cm="1">
        <f t="array" ref="H357">YEAR(A357)</f>
        <v>2025</v>
      </c>
      <c r="I357" t="str" s="60" cm="1">
        <f t="array" ref="I357">"Q"&amp;ROUNDUP(MONTH(A357)/3,0)</f>
        <v>Q1</v>
      </c>
      <c r="J357" t="s" s="57">
        <v>51</v>
      </c>
    </row>
    <row r="358" ht="13.55" customHeight="1">
      <c r="A358" s="51">
        <v>45664</v>
      </c>
      <c r="B358" t="s" s="52">
        <v>23</v>
      </c>
      <c r="C358" t="s" s="52">
        <v>81</v>
      </c>
      <c r="D358" t="s" s="52">
        <v>17</v>
      </c>
      <c r="E358" s="53">
        <v>13</v>
      </c>
      <c r="F358" s="54">
        <v>29042</v>
      </c>
      <c r="G358" s="54" cm="1">
        <f t="array" ref="G358">E358*F358</f>
        <v>377546</v>
      </c>
      <c r="H358" s="53" cm="1">
        <f t="array" ref="H358">YEAR(A358)</f>
        <v>2025</v>
      </c>
      <c r="I358" t="str" s="55" cm="1">
        <f t="array" ref="I358">"Q"&amp;ROUNDUP(MONTH(A358)/3,0)</f>
        <v>Q1</v>
      </c>
      <c r="J358" t="s" s="52">
        <v>51</v>
      </c>
    </row>
    <row r="359" ht="13.55" customHeight="1">
      <c r="A359" s="56">
        <v>45664</v>
      </c>
      <c r="B359" t="s" s="57">
        <v>20</v>
      </c>
      <c r="C359" t="s" s="57">
        <v>78</v>
      </c>
      <c r="D359" t="s" s="57">
        <v>17</v>
      </c>
      <c r="E359" s="58">
        <v>14</v>
      </c>
      <c r="F359" s="59">
        <v>51220</v>
      </c>
      <c r="G359" s="59" cm="1">
        <f t="array" ref="G359">E359*F359</f>
        <v>717080</v>
      </c>
      <c r="H359" s="58" cm="1">
        <f t="array" ref="H359">YEAR(A359)</f>
        <v>2025</v>
      </c>
      <c r="I359" t="str" s="60" cm="1">
        <f t="array" ref="I359">"Q"&amp;ROUNDUP(MONTH(A359)/3,0)</f>
        <v>Q1</v>
      </c>
      <c r="J359" t="s" s="57">
        <v>51</v>
      </c>
    </row>
    <row r="360" ht="13.55" customHeight="1">
      <c r="A360" s="51">
        <v>45664</v>
      </c>
      <c r="B360" t="s" s="52">
        <v>21</v>
      </c>
      <c r="C360" t="s" s="52">
        <v>82</v>
      </c>
      <c r="D360" t="s" s="52">
        <v>16</v>
      </c>
      <c r="E360" s="53">
        <v>17</v>
      </c>
      <c r="F360" s="54">
        <v>66381</v>
      </c>
      <c r="G360" s="54" cm="1">
        <f t="array" ref="G360">E360*F360</f>
        <v>1128477</v>
      </c>
      <c r="H360" s="53" cm="1">
        <f t="array" ref="H360">YEAR(A360)</f>
        <v>2025</v>
      </c>
      <c r="I360" t="str" s="55" cm="1">
        <f t="array" ref="I360">"Q"&amp;ROUNDUP(MONTH(A360)/3,0)</f>
        <v>Q1</v>
      </c>
      <c r="J360" t="s" s="52">
        <v>51</v>
      </c>
    </row>
    <row r="361" ht="13.55" customHeight="1">
      <c r="A361" s="56">
        <v>45664</v>
      </c>
      <c r="B361" t="s" s="57">
        <v>22</v>
      </c>
      <c r="C361" t="s" s="57">
        <v>82</v>
      </c>
      <c r="D361" t="s" s="57">
        <v>15</v>
      </c>
      <c r="E361" s="58">
        <v>6</v>
      </c>
      <c r="F361" s="59">
        <v>61984</v>
      </c>
      <c r="G361" s="59" cm="1">
        <f t="array" ref="G361">E361*F361</f>
        <v>371904</v>
      </c>
      <c r="H361" s="58" cm="1">
        <f t="array" ref="H361">YEAR(A361)</f>
        <v>2025</v>
      </c>
      <c r="I361" t="str" s="60" cm="1">
        <f t="array" ref="I361">"Q"&amp;ROUNDUP(MONTH(A361)/3,0)</f>
        <v>Q1</v>
      </c>
      <c r="J361" t="s" s="57">
        <v>51</v>
      </c>
    </row>
    <row r="362" ht="13.55" customHeight="1">
      <c r="A362" s="51">
        <v>45665</v>
      </c>
      <c r="B362" t="s" s="52">
        <v>20</v>
      </c>
      <c r="C362" t="s" s="52">
        <v>78</v>
      </c>
      <c r="D362" t="s" s="52">
        <v>17</v>
      </c>
      <c r="E362" s="53">
        <v>7</v>
      </c>
      <c r="F362" s="54">
        <v>66744</v>
      </c>
      <c r="G362" s="54" cm="1">
        <f t="array" ref="G362">E362*F362</f>
        <v>467208</v>
      </c>
      <c r="H362" s="53" cm="1">
        <f t="array" ref="H362">YEAR(A362)</f>
        <v>2025</v>
      </c>
      <c r="I362" t="str" s="55" cm="1">
        <f t="array" ref="I362">"Q"&amp;ROUNDUP(MONTH(A362)/3,0)</f>
        <v>Q1</v>
      </c>
      <c r="J362" t="s" s="52">
        <v>51</v>
      </c>
    </row>
    <row r="363" ht="13.55" customHeight="1">
      <c r="A363" s="56">
        <v>45666</v>
      </c>
      <c r="B363" t="s" s="57">
        <v>22</v>
      </c>
      <c r="C363" t="s" s="57">
        <v>81</v>
      </c>
      <c r="D363" t="s" s="57">
        <v>17</v>
      </c>
      <c r="E363" s="58">
        <v>7</v>
      </c>
      <c r="F363" s="59">
        <v>38724</v>
      </c>
      <c r="G363" s="59" cm="1">
        <f t="array" ref="G363">E363*F363</f>
        <v>271068</v>
      </c>
      <c r="H363" s="58" cm="1">
        <f t="array" ref="H363">YEAR(A363)</f>
        <v>2025</v>
      </c>
      <c r="I363" t="str" s="60" cm="1">
        <f t="array" ref="I363">"Q"&amp;ROUNDUP(MONTH(A363)/3,0)</f>
        <v>Q1</v>
      </c>
      <c r="J363" t="s" s="57">
        <v>51</v>
      </c>
    </row>
    <row r="364" ht="13.55" customHeight="1">
      <c r="A364" s="51">
        <v>45667</v>
      </c>
      <c r="B364" t="s" s="52">
        <v>22</v>
      </c>
      <c r="C364" t="s" s="52">
        <v>78</v>
      </c>
      <c r="D364" t="s" s="52">
        <v>18</v>
      </c>
      <c r="E364" s="53">
        <v>12</v>
      </c>
      <c r="F364" s="54">
        <v>20549</v>
      </c>
      <c r="G364" s="54" cm="1">
        <f t="array" ref="G364">E364*F364</f>
        <v>246588</v>
      </c>
      <c r="H364" s="53" cm="1">
        <f t="array" ref="H364">YEAR(A364)</f>
        <v>2025</v>
      </c>
      <c r="I364" t="str" s="55" cm="1">
        <f t="array" ref="I364">"Q"&amp;ROUNDUP(MONTH(A364)/3,0)</f>
        <v>Q1</v>
      </c>
      <c r="J364" t="s" s="52">
        <v>51</v>
      </c>
    </row>
    <row r="365" ht="13.55" customHeight="1">
      <c r="A365" s="56">
        <v>45668</v>
      </c>
      <c r="B365" t="s" s="57">
        <v>23</v>
      </c>
      <c r="C365" t="s" s="57">
        <v>81</v>
      </c>
      <c r="D365" t="s" s="57">
        <v>16</v>
      </c>
      <c r="E365" s="58">
        <v>5</v>
      </c>
      <c r="F365" s="59">
        <v>13328</v>
      </c>
      <c r="G365" s="59" cm="1">
        <f t="array" ref="G365">E365*F365</f>
        <v>66640</v>
      </c>
      <c r="H365" s="58" cm="1">
        <f t="array" ref="H365">YEAR(A365)</f>
        <v>2025</v>
      </c>
      <c r="I365" t="str" s="60" cm="1">
        <f t="array" ref="I365">"Q"&amp;ROUNDUP(MONTH(A365)/3,0)</f>
        <v>Q1</v>
      </c>
      <c r="J365" t="s" s="57">
        <v>51</v>
      </c>
    </row>
    <row r="366" ht="13.55" customHeight="1">
      <c r="A366" s="51">
        <v>45670</v>
      </c>
      <c r="B366" t="s" s="52">
        <v>22</v>
      </c>
      <c r="C366" t="s" s="52">
        <v>80</v>
      </c>
      <c r="D366" t="s" s="52">
        <v>18</v>
      </c>
      <c r="E366" s="53">
        <v>11</v>
      </c>
      <c r="F366" s="54">
        <v>78233</v>
      </c>
      <c r="G366" s="54" cm="1">
        <f t="array" ref="G366">E366*F366</f>
        <v>860563</v>
      </c>
      <c r="H366" s="53" cm="1">
        <f t="array" ref="H366">YEAR(A366)</f>
        <v>2025</v>
      </c>
      <c r="I366" t="str" s="55" cm="1">
        <f t="array" ref="I366">"Q"&amp;ROUNDUP(MONTH(A366)/3,0)</f>
        <v>Q1</v>
      </c>
      <c r="J366" t="s" s="52">
        <v>51</v>
      </c>
    </row>
    <row r="367" ht="13.55" customHeight="1">
      <c r="A367" s="56">
        <v>45671</v>
      </c>
      <c r="B367" t="s" s="57">
        <v>20</v>
      </c>
      <c r="C367" t="s" s="57">
        <v>78</v>
      </c>
      <c r="D367" t="s" s="57">
        <v>16</v>
      </c>
      <c r="E367" s="58">
        <v>15</v>
      </c>
      <c r="F367" s="59">
        <v>56148</v>
      </c>
      <c r="G367" s="59" cm="1">
        <f t="array" ref="G367">E367*F367</f>
        <v>842220</v>
      </c>
      <c r="H367" s="58" cm="1">
        <f t="array" ref="H367">YEAR(A367)</f>
        <v>2025</v>
      </c>
      <c r="I367" t="str" s="60" cm="1">
        <f t="array" ref="I367">"Q"&amp;ROUNDUP(MONTH(A367)/3,0)</f>
        <v>Q1</v>
      </c>
      <c r="J367" t="s" s="57">
        <v>51</v>
      </c>
    </row>
    <row r="368" ht="13.55" customHeight="1">
      <c r="A368" s="51">
        <v>45671</v>
      </c>
      <c r="B368" t="s" s="52">
        <v>23</v>
      </c>
      <c r="C368" t="s" s="52">
        <v>82</v>
      </c>
      <c r="D368" t="s" s="52">
        <v>15</v>
      </c>
      <c r="E368" s="53">
        <v>17</v>
      </c>
      <c r="F368" s="54">
        <v>5869</v>
      </c>
      <c r="G368" s="54" cm="1">
        <f t="array" ref="G368">E368*F368</f>
        <v>99773</v>
      </c>
      <c r="H368" s="53" cm="1">
        <f t="array" ref="H368">YEAR(A368)</f>
        <v>2025</v>
      </c>
      <c r="I368" t="str" s="55" cm="1">
        <f t="array" ref="I368">"Q"&amp;ROUNDUP(MONTH(A368)/3,0)</f>
        <v>Q1</v>
      </c>
      <c r="J368" t="s" s="52">
        <v>51</v>
      </c>
    </row>
    <row r="369" ht="13.55" customHeight="1">
      <c r="A369" s="56">
        <v>45675</v>
      </c>
      <c r="B369" t="s" s="57">
        <v>20</v>
      </c>
      <c r="C369" t="s" s="57">
        <v>84</v>
      </c>
      <c r="D369" t="s" s="57">
        <v>16</v>
      </c>
      <c r="E369" s="58">
        <v>10</v>
      </c>
      <c r="F369" s="59">
        <v>66576</v>
      </c>
      <c r="G369" s="59" cm="1">
        <f t="array" ref="G369">E369*F369</f>
        <v>665760</v>
      </c>
      <c r="H369" s="58" cm="1">
        <f t="array" ref="H369">YEAR(A369)</f>
        <v>2025</v>
      </c>
      <c r="I369" t="str" s="60" cm="1">
        <f t="array" ref="I369">"Q"&amp;ROUNDUP(MONTH(A369)/3,0)</f>
        <v>Q1</v>
      </c>
      <c r="J369" t="s" s="57">
        <v>51</v>
      </c>
    </row>
    <row r="370" ht="13.55" customHeight="1">
      <c r="A370" s="51">
        <v>45676</v>
      </c>
      <c r="B370" t="s" s="52">
        <v>23</v>
      </c>
      <c r="C370" t="s" s="52">
        <v>83</v>
      </c>
      <c r="D370" t="s" s="52">
        <v>17</v>
      </c>
      <c r="E370" s="53">
        <v>3</v>
      </c>
      <c r="F370" s="54">
        <v>9994</v>
      </c>
      <c r="G370" s="54" cm="1">
        <f t="array" ref="G370">E370*F370</f>
        <v>29982</v>
      </c>
      <c r="H370" s="53" cm="1">
        <f t="array" ref="H370">YEAR(A370)</f>
        <v>2025</v>
      </c>
      <c r="I370" t="str" s="55" cm="1">
        <f t="array" ref="I370">"Q"&amp;ROUNDUP(MONTH(A370)/3,0)</f>
        <v>Q1</v>
      </c>
      <c r="J370" t="s" s="52">
        <v>51</v>
      </c>
    </row>
    <row r="371" ht="13.55" customHeight="1">
      <c r="A371" s="56">
        <v>45676</v>
      </c>
      <c r="B371" t="s" s="57">
        <v>22</v>
      </c>
      <c r="C371" t="s" s="57">
        <v>81</v>
      </c>
      <c r="D371" t="s" s="57">
        <v>18</v>
      </c>
      <c r="E371" s="58">
        <v>15</v>
      </c>
      <c r="F371" s="59">
        <v>48370</v>
      </c>
      <c r="G371" s="59" cm="1">
        <f t="array" ref="G371">E371*F371</f>
        <v>725550</v>
      </c>
      <c r="H371" s="58" cm="1">
        <f t="array" ref="H371">YEAR(A371)</f>
        <v>2025</v>
      </c>
      <c r="I371" t="str" s="60" cm="1">
        <f t="array" ref="I371">"Q"&amp;ROUNDUP(MONTH(A371)/3,0)</f>
        <v>Q1</v>
      </c>
      <c r="J371" t="s" s="57">
        <v>51</v>
      </c>
    </row>
    <row r="372" ht="13.55" customHeight="1">
      <c r="A372" s="51">
        <v>45677</v>
      </c>
      <c r="B372" t="s" s="52">
        <v>20</v>
      </c>
      <c r="C372" t="s" s="52">
        <v>84</v>
      </c>
      <c r="D372" t="s" s="52">
        <v>17</v>
      </c>
      <c r="E372" s="53">
        <v>6</v>
      </c>
      <c r="F372" s="54">
        <v>67875</v>
      </c>
      <c r="G372" s="54" cm="1">
        <f t="array" ref="G372">E372*F372</f>
        <v>407250</v>
      </c>
      <c r="H372" s="53" cm="1">
        <f t="array" ref="H372">YEAR(A372)</f>
        <v>2025</v>
      </c>
      <c r="I372" t="str" s="55" cm="1">
        <f t="array" ref="I372">"Q"&amp;ROUNDUP(MONTH(A372)/3,0)</f>
        <v>Q1</v>
      </c>
      <c r="J372" t="s" s="52">
        <v>51</v>
      </c>
    </row>
    <row r="373" ht="13.55" customHeight="1">
      <c r="A373" s="56">
        <v>45677</v>
      </c>
      <c r="B373" t="s" s="57">
        <v>21</v>
      </c>
      <c r="C373" t="s" s="57">
        <v>82</v>
      </c>
      <c r="D373" t="s" s="57">
        <v>16</v>
      </c>
      <c r="E373" s="58">
        <v>15</v>
      </c>
      <c r="F373" s="59">
        <v>15655</v>
      </c>
      <c r="G373" s="59" cm="1">
        <f t="array" ref="G373">E373*F373</f>
        <v>234825</v>
      </c>
      <c r="H373" s="58" cm="1">
        <f t="array" ref="H373">YEAR(A373)</f>
        <v>2025</v>
      </c>
      <c r="I373" t="str" s="60" cm="1">
        <f t="array" ref="I373">"Q"&amp;ROUNDUP(MONTH(A373)/3,0)</f>
        <v>Q1</v>
      </c>
      <c r="J373" t="s" s="57">
        <v>51</v>
      </c>
    </row>
    <row r="374" ht="13.55" customHeight="1">
      <c r="A374" s="51">
        <v>45677</v>
      </c>
      <c r="B374" t="s" s="52">
        <v>22</v>
      </c>
      <c r="C374" t="s" s="52">
        <v>83</v>
      </c>
      <c r="D374" t="s" s="52">
        <v>18</v>
      </c>
      <c r="E374" s="53">
        <v>18</v>
      </c>
      <c r="F374" s="54">
        <v>77762</v>
      </c>
      <c r="G374" s="54" cm="1">
        <f t="array" ref="G374">E374*F374</f>
        <v>1399716</v>
      </c>
      <c r="H374" s="53" cm="1">
        <f t="array" ref="H374">YEAR(A374)</f>
        <v>2025</v>
      </c>
      <c r="I374" t="str" s="55" cm="1">
        <f t="array" ref="I374">"Q"&amp;ROUNDUP(MONTH(A374)/3,0)</f>
        <v>Q1</v>
      </c>
      <c r="J374" t="s" s="52">
        <v>51</v>
      </c>
    </row>
    <row r="375" ht="13.55" customHeight="1">
      <c r="A375" s="56">
        <v>45678</v>
      </c>
      <c r="B375" t="s" s="57">
        <v>21</v>
      </c>
      <c r="C375" t="s" s="57">
        <v>80</v>
      </c>
      <c r="D375" t="s" s="57">
        <v>18</v>
      </c>
      <c r="E375" s="58">
        <v>11</v>
      </c>
      <c r="F375" s="59">
        <v>52897</v>
      </c>
      <c r="G375" s="59" cm="1">
        <f t="array" ref="G375">E375*F375</f>
        <v>581867</v>
      </c>
      <c r="H375" s="58" cm="1">
        <f t="array" ref="H375">YEAR(A375)</f>
        <v>2025</v>
      </c>
      <c r="I375" t="str" s="60" cm="1">
        <f t="array" ref="I375">"Q"&amp;ROUNDUP(MONTH(A375)/3,0)</f>
        <v>Q1</v>
      </c>
      <c r="J375" t="s" s="57">
        <v>51</v>
      </c>
    </row>
    <row r="376" ht="13.55" customHeight="1">
      <c r="A376" s="51">
        <v>45678</v>
      </c>
      <c r="B376" t="s" s="52">
        <v>20</v>
      </c>
      <c r="C376" t="s" s="52">
        <v>80</v>
      </c>
      <c r="D376" t="s" s="52">
        <v>18</v>
      </c>
      <c r="E376" s="53">
        <v>19</v>
      </c>
      <c r="F376" s="54">
        <v>25884</v>
      </c>
      <c r="G376" s="54" cm="1">
        <f t="array" ref="G376">E376*F376</f>
        <v>491796</v>
      </c>
      <c r="H376" s="53" cm="1">
        <f t="array" ref="H376">YEAR(A376)</f>
        <v>2025</v>
      </c>
      <c r="I376" t="str" s="55" cm="1">
        <f t="array" ref="I376">"Q"&amp;ROUNDUP(MONTH(A376)/3,0)</f>
        <v>Q1</v>
      </c>
      <c r="J376" t="s" s="52">
        <v>51</v>
      </c>
    </row>
    <row r="377" ht="13.55" customHeight="1">
      <c r="A377" s="56">
        <v>45679</v>
      </c>
      <c r="B377" t="s" s="57">
        <v>20</v>
      </c>
      <c r="C377" t="s" s="57">
        <v>81</v>
      </c>
      <c r="D377" t="s" s="57">
        <v>15</v>
      </c>
      <c r="E377" s="58">
        <v>9</v>
      </c>
      <c r="F377" s="59">
        <v>65686</v>
      </c>
      <c r="G377" s="59" cm="1">
        <f t="array" ref="G377">E377*F377</f>
        <v>591174</v>
      </c>
      <c r="H377" s="58" cm="1">
        <f t="array" ref="H377">YEAR(A377)</f>
        <v>2025</v>
      </c>
      <c r="I377" t="str" s="60" cm="1">
        <f t="array" ref="I377">"Q"&amp;ROUNDUP(MONTH(A377)/3,0)</f>
        <v>Q1</v>
      </c>
      <c r="J377" t="s" s="57">
        <v>51</v>
      </c>
    </row>
    <row r="378" ht="13.55" customHeight="1">
      <c r="A378" s="51">
        <v>45679</v>
      </c>
      <c r="B378" t="s" s="52">
        <v>22</v>
      </c>
      <c r="C378" t="s" s="52">
        <v>78</v>
      </c>
      <c r="D378" t="s" s="52">
        <v>17</v>
      </c>
      <c r="E378" s="53">
        <v>9</v>
      </c>
      <c r="F378" s="54">
        <v>47137</v>
      </c>
      <c r="G378" s="54" cm="1">
        <f t="array" ref="G378">E378*F378</f>
        <v>424233</v>
      </c>
      <c r="H378" s="53" cm="1">
        <f t="array" ref="H378">YEAR(A378)</f>
        <v>2025</v>
      </c>
      <c r="I378" t="str" s="55" cm="1">
        <f t="array" ref="I378">"Q"&amp;ROUNDUP(MONTH(A378)/3,0)</f>
        <v>Q1</v>
      </c>
      <c r="J378" t="s" s="52">
        <v>51</v>
      </c>
    </row>
    <row r="379" ht="13.55" customHeight="1">
      <c r="A379" s="56">
        <v>45681</v>
      </c>
      <c r="B379" t="s" s="57">
        <v>23</v>
      </c>
      <c r="C379" t="s" s="57">
        <v>84</v>
      </c>
      <c r="D379" t="s" s="57">
        <v>17</v>
      </c>
      <c r="E379" s="58">
        <v>2</v>
      </c>
      <c r="F379" s="59">
        <v>63001</v>
      </c>
      <c r="G379" s="59" cm="1">
        <f t="array" ref="G379">E379*F379</f>
        <v>126002</v>
      </c>
      <c r="H379" s="58" cm="1">
        <f t="array" ref="H379">YEAR(A379)</f>
        <v>2025</v>
      </c>
      <c r="I379" t="str" s="60" cm="1">
        <f t="array" ref="I379">"Q"&amp;ROUNDUP(MONTH(A379)/3,0)</f>
        <v>Q1</v>
      </c>
      <c r="J379" t="s" s="57">
        <v>51</v>
      </c>
    </row>
    <row r="380" ht="13.55" customHeight="1">
      <c r="A380" s="51">
        <v>45681</v>
      </c>
      <c r="B380" t="s" s="52">
        <v>21</v>
      </c>
      <c r="C380" t="s" s="52">
        <v>78</v>
      </c>
      <c r="D380" t="s" s="52">
        <v>18</v>
      </c>
      <c r="E380" s="53">
        <v>4</v>
      </c>
      <c r="F380" s="54">
        <v>7426</v>
      </c>
      <c r="G380" s="54" cm="1">
        <f t="array" ref="G380">E380*F380</f>
        <v>29704</v>
      </c>
      <c r="H380" s="53" cm="1">
        <f t="array" ref="H380">YEAR(A380)</f>
        <v>2025</v>
      </c>
      <c r="I380" t="str" s="55" cm="1">
        <f t="array" ref="I380">"Q"&amp;ROUNDUP(MONTH(A380)/3,0)</f>
        <v>Q1</v>
      </c>
      <c r="J380" t="s" s="52">
        <v>51</v>
      </c>
    </row>
    <row r="381" ht="13.55" customHeight="1">
      <c r="A381" s="56">
        <v>45683</v>
      </c>
      <c r="B381" t="s" s="57">
        <v>23</v>
      </c>
      <c r="C381" t="s" s="57">
        <v>83</v>
      </c>
      <c r="D381" t="s" s="57">
        <v>16</v>
      </c>
      <c r="E381" s="58">
        <v>12</v>
      </c>
      <c r="F381" s="59">
        <v>7103</v>
      </c>
      <c r="G381" s="59" cm="1">
        <f t="array" ref="G381">E381*F381</f>
        <v>85236</v>
      </c>
      <c r="H381" s="58" cm="1">
        <f t="array" ref="H381">YEAR(A381)</f>
        <v>2025</v>
      </c>
      <c r="I381" t="str" s="60" cm="1">
        <f t="array" ref="I381">"Q"&amp;ROUNDUP(MONTH(A381)/3,0)</f>
        <v>Q1</v>
      </c>
      <c r="J381" t="s" s="57">
        <v>51</v>
      </c>
    </row>
    <row r="382" ht="13.55" customHeight="1">
      <c r="A382" s="51">
        <v>45683</v>
      </c>
      <c r="B382" t="s" s="52">
        <v>22</v>
      </c>
      <c r="C382" t="s" s="52">
        <v>84</v>
      </c>
      <c r="D382" t="s" s="52">
        <v>17</v>
      </c>
      <c r="E382" s="53">
        <v>17</v>
      </c>
      <c r="F382" s="54">
        <v>48427</v>
      </c>
      <c r="G382" s="54" cm="1">
        <f t="array" ref="G382">E382*F382</f>
        <v>823259</v>
      </c>
      <c r="H382" s="53" cm="1">
        <f t="array" ref="H382">YEAR(A382)</f>
        <v>2025</v>
      </c>
      <c r="I382" t="str" s="55" cm="1">
        <f t="array" ref="I382">"Q"&amp;ROUNDUP(MONTH(A382)/3,0)</f>
        <v>Q1</v>
      </c>
      <c r="J382" t="s" s="52">
        <v>51</v>
      </c>
    </row>
    <row r="383" ht="13.55" customHeight="1">
      <c r="A383" s="56">
        <v>45684</v>
      </c>
      <c r="B383" t="s" s="57">
        <v>23</v>
      </c>
      <c r="C383" t="s" s="57">
        <v>80</v>
      </c>
      <c r="D383" t="s" s="57">
        <v>18</v>
      </c>
      <c r="E383" s="58">
        <v>4</v>
      </c>
      <c r="F383" s="59">
        <v>56934</v>
      </c>
      <c r="G383" s="59" cm="1">
        <f t="array" ref="G383">E383*F383</f>
        <v>227736</v>
      </c>
      <c r="H383" s="58" cm="1">
        <f t="array" ref="H383">YEAR(A383)</f>
        <v>2025</v>
      </c>
      <c r="I383" t="str" s="60" cm="1">
        <f t="array" ref="I383">"Q"&amp;ROUNDUP(MONTH(A383)/3,0)</f>
        <v>Q1</v>
      </c>
      <c r="J383" t="s" s="57">
        <v>51</v>
      </c>
    </row>
    <row r="384" ht="13.55" customHeight="1">
      <c r="A384" s="51">
        <v>45684</v>
      </c>
      <c r="B384" t="s" s="52">
        <v>23</v>
      </c>
      <c r="C384" t="s" s="52">
        <v>83</v>
      </c>
      <c r="D384" t="s" s="52">
        <v>18</v>
      </c>
      <c r="E384" s="53">
        <v>17</v>
      </c>
      <c r="F384" s="54">
        <v>73226</v>
      </c>
      <c r="G384" s="54" cm="1">
        <f t="array" ref="G384">E384*F384</f>
        <v>1244842</v>
      </c>
      <c r="H384" s="53" cm="1">
        <f t="array" ref="H384">YEAR(A384)</f>
        <v>2025</v>
      </c>
      <c r="I384" t="str" s="55" cm="1">
        <f t="array" ref="I384">"Q"&amp;ROUNDUP(MONTH(A384)/3,0)</f>
        <v>Q1</v>
      </c>
      <c r="J384" t="s" s="52">
        <v>51</v>
      </c>
    </row>
    <row r="385" ht="13.55" customHeight="1">
      <c r="A385" s="56">
        <v>45684</v>
      </c>
      <c r="B385" t="s" s="57">
        <v>21</v>
      </c>
      <c r="C385" t="s" s="57">
        <v>81</v>
      </c>
      <c r="D385" t="s" s="57">
        <v>17</v>
      </c>
      <c r="E385" s="58">
        <v>8</v>
      </c>
      <c r="F385" s="59">
        <v>31489</v>
      </c>
      <c r="G385" s="59" cm="1">
        <f t="array" ref="G385">E385*F385</f>
        <v>251912</v>
      </c>
      <c r="H385" s="58" cm="1">
        <f t="array" ref="H385">YEAR(A385)</f>
        <v>2025</v>
      </c>
      <c r="I385" t="str" s="60" cm="1">
        <f t="array" ref="I385">"Q"&amp;ROUNDUP(MONTH(A385)/3,0)</f>
        <v>Q1</v>
      </c>
      <c r="J385" t="s" s="57">
        <v>51</v>
      </c>
    </row>
    <row r="386" ht="13.55" customHeight="1">
      <c r="A386" s="51">
        <v>45684</v>
      </c>
      <c r="B386" t="s" s="52">
        <v>21</v>
      </c>
      <c r="C386" t="s" s="52">
        <v>80</v>
      </c>
      <c r="D386" t="s" s="52">
        <v>16</v>
      </c>
      <c r="E386" s="53">
        <v>10</v>
      </c>
      <c r="F386" s="54">
        <v>40440</v>
      </c>
      <c r="G386" s="54" cm="1">
        <f t="array" ref="G386">E386*F386</f>
        <v>404400</v>
      </c>
      <c r="H386" s="53" cm="1">
        <f t="array" ref="H386">YEAR(A386)</f>
        <v>2025</v>
      </c>
      <c r="I386" t="str" s="55" cm="1">
        <f t="array" ref="I386">"Q"&amp;ROUNDUP(MONTH(A386)/3,0)</f>
        <v>Q1</v>
      </c>
      <c r="J386" t="s" s="52">
        <v>51</v>
      </c>
    </row>
    <row r="387" ht="13.55" customHeight="1">
      <c r="A387" s="56">
        <v>45685</v>
      </c>
      <c r="B387" t="s" s="57">
        <v>22</v>
      </c>
      <c r="C387" t="s" s="57">
        <v>80</v>
      </c>
      <c r="D387" t="s" s="57">
        <v>15</v>
      </c>
      <c r="E387" s="58">
        <v>16</v>
      </c>
      <c r="F387" s="59">
        <v>65006</v>
      </c>
      <c r="G387" s="59" cm="1">
        <f t="array" ref="G387">E387*F387</f>
        <v>1040096</v>
      </c>
      <c r="H387" s="58" cm="1">
        <f t="array" ref="H387">YEAR(A387)</f>
        <v>2025</v>
      </c>
      <c r="I387" t="str" s="60" cm="1">
        <f t="array" ref="I387">"Q"&amp;ROUNDUP(MONTH(A387)/3,0)</f>
        <v>Q1</v>
      </c>
      <c r="J387" t="s" s="57">
        <v>51</v>
      </c>
    </row>
    <row r="388" ht="13.55" customHeight="1">
      <c r="A388" s="51">
        <v>45687</v>
      </c>
      <c r="B388" t="s" s="52">
        <v>22</v>
      </c>
      <c r="C388" t="s" s="52">
        <v>78</v>
      </c>
      <c r="D388" t="s" s="52">
        <v>15</v>
      </c>
      <c r="E388" s="53">
        <v>10</v>
      </c>
      <c r="F388" s="54">
        <v>6961</v>
      </c>
      <c r="G388" s="54" cm="1">
        <f t="array" ref="G388">E388*F388</f>
        <v>69610</v>
      </c>
      <c r="H388" s="53" cm="1">
        <f t="array" ref="H388">YEAR(A388)</f>
        <v>2025</v>
      </c>
      <c r="I388" t="str" s="55" cm="1">
        <f t="array" ref="I388">"Q"&amp;ROUNDUP(MONTH(A388)/3,0)</f>
        <v>Q1</v>
      </c>
      <c r="J388" t="s" s="52">
        <v>51</v>
      </c>
    </row>
    <row r="389" ht="13.55" customHeight="1">
      <c r="A389" s="56">
        <v>45687</v>
      </c>
      <c r="B389" t="s" s="57">
        <v>23</v>
      </c>
      <c r="C389" t="s" s="57">
        <v>78</v>
      </c>
      <c r="D389" t="s" s="57">
        <v>16</v>
      </c>
      <c r="E389" s="58">
        <v>3</v>
      </c>
      <c r="F389" s="59">
        <v>36954</v>
      </c>
      <c r="G389" s="59" cm="1">
        <f t="array" ref="G389">E389*F389</f>
        <v>110862</v>
      </c>
      <c r="H389" s="58" cm="1">
        <f t="array" ref="H389">YEAR(A389)</f>
        <v>2025</v>
      </c>
      <c r="I389" t="str" s="60" cm="1">
        <f t="array" ref="I389">"Q"&amp;ROUNDUP(MONTH(A389)/3,0)</f>
        <v>Q1</v>
      </c>
      <c r="J389" t="s" s="57">
        <v>51</v>
      </c>
    </row>
    <row r="390" ht="13.55" customHeight="1">
      <c r="A390" s="51">
        <v>45688</v>
      </c>
      <c r="B390" t="s" s="52">
        <v>21</v>
      </c>
      <c r="C390" t="s" s="52">
        <v>84</v>
      </c>
      <c r="D390" t="s" s="52">
        <v>18</v>
      </c>
      <c r="E390" s="53">
        <v>10</v>
      </c>
      <c r="F390" s="54">
        <v>76762</v>
      </c>
      <c r="G390" s="54" cm="1">
        <f t="array" ref="G390">E390*F390</f>
        <v>767620</v>
      </c>
      <c r="H390" s="53" cm="1">
        <f t="array" ref="H390">YEAR(A390)</f>
        <v>2025</v>
      </c>
      <c r="I390" t="str" s="55" cm="1">
        <f t="array" ref="I390">"Q"&amp;ROUNDUP(MONTH(A390)/3,0)</f>
        <v>Q1</v>
      </c>
      <c r="J390" t="s" s="52">
        <v>51</v>
      </c>
    </row>
    <row r="391" ht="13.55" customHeight="1">
      <c r="A391" s="56">
        <v>45688</v>
      </c>
      <c r="B391" t="s" s="57">
        <v>22</v>
      </c>
      <c r="C391" t="s" s="57">
        <v>81</v>
      </c>
      <c r="D391" t="s" s="57">
        <v>15</v>
      </c>
      <c r="E391" s="58">
        <v>1</v>
      </c>
      <c r="F391" s="59">
        <v>39524</v>
      </c>
      <c r="G391" s="59" cm="1">
        <f t="array" ref="G391">E391*F391</f>
        <v>39524</v>
      </c>
      <c r="H391" s="58" cm="1">
        <f t="array" ref="H391">YEAR(A391)</f>
        <v>2025</v>
      </c>
      <c r="I391" t="str" s="60" cm="1">
        <f t="array" ref="I391">"Q"&amp;ROUNDUP(MONTH(A391)/3,0)</f>
        <v>Q1</v>
      </c>
      <c r="J391" t="s" s="57">
        <v>51</v>
      </c>
    </row>
    <row r="392" ht="13.55" customHeight="1">
      <c r="A392" s="51">
        <v>45689</v>
      </c>
      <c r="B392" t="s" s="52">
        <v>23</v>
      </c>
      <c r="C392" t="s" s="52">
        <v>78</v>
      </c>
      <c r="D392" t="s" s="52">
        <v>16</v>
      </c>
      <c r="E392" s="53">
        <v>13</v>
      </c>
      <c r="F392" s="54">
        <v>8606</v>
      </c>
      <c r="G392" s="54" cm="1">
        <f t="array" ref="G392">E392*F392</f>
        <v>111878</v>
      </c>
      <c r="H392" s="53" cm="1">
        <f t="array" ref="H392">YEAR(A392)</f>
        <v>2025</v>
      </c>
      <c r="I392" t="str" s="55" cm="1">
        <f t="array" ref="I392">"Q"&amp;ROUNDUP(MONTH(A392)/3,0)</f>
        <v>Q1</v>
      </c>
      <c r="J392" t="s" s="52">
        <v>52</v>
      </c>
    </row>
    <row r="393" ht="13.55" customHeight="1">
      <c r="A393" s="56">
        <v>45689</v>
      </c>
      <c r="B393" t="s" s="57">
        <v>22</v>
      </c>
      <c r="C393" t="s" s="57">
        <v>83</v>
      </c>
      <c r="D393" t="s" s="57">
        <v>15</v>
      </c>
      <c r="E393" s="58">
        <v>9</v>
      </c>
      <c r="F393" s="59">
        <v>31177</v>
      </c>
      <c r="G393" s="59" cm="1">
        <f t="array" ref="G393">E393*F393</f>
        <v>280593</v>
      </c>
      <c r="H393" s="58" cm="1">
        <f t="array" ref="H393">YEAR(A393)</f>
        <v>2025</v>
      </c>
      <c r="I393" t="str" s="60" cm="1">
        <f t="array" ref="I393">"Q"&amp;ROUNDUP(MONTH(A393)/3,0)</f>
        <v>Q1</v>
      </c>
      <c r="J393" t="s" s="57">
        <v>52</v>
      </c>
    </row>
    <row r="394" ht="13.55" customHeight="1">
      <c r="A394" s="51">
        <v>45689</v>
      </c>
      <c r="B394" t="s" s="52">
        <v>23</v>
      </c>
      <c r="C394" t="s" s="52">
        <v>83</v>
      </c>
      <c r="D394" t="s" s="52">
        <v>15</v>
      </c>
      <c r="E394" s="53">
        <v>18</v>
      </c>
      <c r="F394" s="54">
        <v>25884</v>
      </c>
      <c r="G394" s="54" cm="1">
        <f t="array" ref="G394">E394*F394</f>
        <v>465912</v>
      </c>
      <c r="H394" s="53" cm="1">
        <f t="array" ref="H394">YEAR(A394)</f>
        <v>2025</v>
      </c>
      <c r="I394" t="str" s="55" cm="1">
        <f t="array" ref="I394">"Q"&amp;ROUNDUP(MONTH(A394)/3,0)</f>
        <v>Q1</v>
      </c>
      <c r="J394" t="s" s="52">
        <v>52</v>
      </c>
    </row>
    <row r="395" ht="13.55" customHeight="1">
      <c r="A395" s="56">
        <v>45691</v>
      </c>
      <c r="B395" t="s" s="57">
        <v>21</v>
      </c>
      <c r="C395" t="s" s="57">
        <v>80</v>
      </c>
      <c r="D395" t="s" s="57">
        <v>16</v>
      </c>
      <c r="E395" s="58">
        <v>13</v>
      </c>
      <c r="F395" s="59">
        <v>34768</v>
      </c>
      <c r="G395" s="59" cm="1">
        <f t="array" ref="G395">E395*F395</f>
        <v>451984</v>
      </c>
      <c r="H395" s="58" cm="1">
        <f t="array" ref="H395">YEAR(A395)</f>
        <v>2025</v>
      </c>
      <c r="I395" t="str" s="60" cm="1">
        <f t="array" ref="I395">"Q"&amp;ROUNDUP(MONTH(A395)/3,0)</f>
        <v>Q1</v>
      </c>
      <c r="J395" t="s" s="57">
        <v>52</v>
      </c>
    </row>
    <row r="396" ht="13.55" customHeight="1">
      <c r="A396" s="51">
        <v>45692</v>
      </c>
      <c r="B396" t="s" s="52">
        <v>22</v>
      </c>
      <c r="C396" t="s" s="52">
        <v>82</v>
      </c>
      <c r="D396" t="s" s="52">
        <v>17</v>
      </c>
      <c r="E396" s="53">
        <v>3</v>
      </c>
      <c r="F396" s="54">
        <v>30307</v>
      </c>
      <c r="G396" s="54" cm="1">
        <f t="array" ref="G396">E396*F396</f>
        <v>90921</v>
      </c>
      <c r="H396" s="53" cm="1">
        <f t="array" ref="H396">YEAR(A396)</f>
        <v>2025</v>
      </c>
      <c r="I396" t="str" s="55" cm="1">
        <f t="array" ref="I396">"Q"&amp;ROUNDUP(MONTH(A396)/3,0)</f>
        <v>Q1</v>
      </c>
      <c r="J396" t="s" s="52">
        <v>52</v>
      </c>
    </row>
    <row r="397" ht="13.55" customHeight="1">
      <c r="A397" s="56">
        <v>45692</v>
      </c>
      <c r="B397" t="s" s="57">
        <v>20</v>
      </c>
      <c r="C397" t="s" s="57">
        <v>83</v>
      </c>
      <c r="D397" t="s" s="57">
        <v>16</v>
      </c>
      <c r="E397" s="58">
        <v>3</v>
      </c>
      <c r="F397" s="59">
        <v>21103</v>
      </c>
      <c r="G397" s="59" cm="1">
        <f t="array" ref="G397">E397*F397</f>
        <v>63309</v>
      </c>
      <c r="H397" s="58" cm="1">
        <f t="array" ref="H397">YEAR(A397)</f>
        <v>2025</v>
      </c>
      <c r="I397" t="str" s="60" cm="1">
        <f t="array" ref="I397">"Q"&amp;ROUNDUP(MONTH(A397)/3,0)</f>
        <v>Q1</v>
      </c>
      <c r="J397" t="s" s="57">
        <v>52</v>
      </c>
    </row>
    <row r="398" ht="13.55" customHeight="1">
      <c r="A398" s="51">
        <v>45693</v>
      </c>
      <c r="B398" t="s" s="52">
        <v>22</v>
      </c>
      <c r="C398" t="s" s="52">
        <v>80</v>
      </c>
      <c r="D398" t="s" s="52">
        <v>15</v>
      </c>
      <c r="E398" s="53">
        <v>6</v>
      </c>
      <c r="F398" s="54">
        <v>9621</v>
      </c>
      <c r="G398" s="54" cm="1">
        <f t="array" ref="G398">E398*F398</f>
        <v>57726</v>
      </c>
      <c r="H398" s="53" cm="1">
        <f t="array" ref="H398">YEAR(A398)</f>
        <v>2025</v>
      </c>
      <c r="I398" t="str" s="55" cm="1">
        <f t="array" ref="I398">"Q"&amp;ROUNDUP(MONTH(A398)/3,0)</f>
        <v>Q1</v>
      </c>
      <c r="J398" t="s" s="52">
        <v>52</v>
      </c>
    </row>
    <row r="399" ht="13.55" customHeight="1">
      <c r="A399" s="56">
        <v>45693</v>
      </c>
      <c r="B399" t="s" s="57">
        <v>23</v>
      </c>
      <c r="C399" t="s" s="57">
        <v>84</v>
      </c>
      <c r="D399" t="s" s="57">
        <v>18</v>
      </c>
      <c r="E399" s="58">
        <v>15</v>
      </c>
      <c r="F399" s="59">
        <v>15451</v>
      </c>
      <c r="G399" s="59" cm="1">
        <f t="array" ref="G399">E399*F399</f>
        <v>231765</v>
      </c>
      <c r="H399" s="58" cm="1">
        <f t="array" ref="H399">YEAR(A399)</f>
        <v>2025</v>
      </c>
      <c r="I399" t="str" s="60" cm="1">
        <f t="array" ref="I399">"Q"&amp;ROUNDUP(MONTH(A399)/3,0)</f>
        <v>Q1</v>
      </c>
      <c r="J399" t="s" s="57">
        <v>52</v>
      </c>
    </row>
    <row r="400" ht="13.55" customHeight="1">
      <c r="A400" s="51">
        <v>45694</v>
      </c>
      <c r="B400" t="s" s="52">
        <v>21</v>
      </c>
      <c r="C400" t="s" s="52">
        <v>84</v>
      </c>
      <c r="D400" t="s" s="52">
        <v>18</v>
      </c>
      <c r="E400" s="53">
        <v>17</v>
      </c>
      <c r="F400" s="54">
        <v>52664</v>
      </c>
      <c r="G400" s="54" cm="1">
        <f t="array" ref="G400">E400*F400</f>
        <v>895288</v>
      </c>
      <c r="H400" s="53" cm="1">
        <f t="array" ref="H400">YEAR(A400)</f>
        <v>2025</v>
      </c>
      <c r="I400" t="str" s="55" cm="1">
        <f t="array" ref="I400">"Q"&amp;ROUNDUP(MONTH(A400)/3,0)</f>
        <v>Q1</v>
      </c>
      <c r="J400" t="s" s="52">
        <v>52</v>
      </c>
    </row>
    <row r="401" ht="13.55" customHeight="1">
      <c r="A401" s="56">
        <v>45694</v>
      </c>
      <c r="B401" t="s" s="57">
        <v>22</v>
      </c>
      <c r="C401" t="s" s="57">
        <v>82</v>
      </c>
      <c r="D401" t="s" s="57">
        <v>18</v>
      </c>
      <c r="E401" s="58">
        <v>11</v>
      </c>
      <c r="F401" s="59">
        <v>9234</v>
      </c>
      <c r="G401" s="59" cm="1">
        <f t="array" ref="G401">E401*F401</f>
        <v>101574</v>
      </c>
      <c r="H401" s="58" cm="1">
        <f t="array" ref="H401">YEAR(A401)</f>
        <v>2025</v>
      </c>
      <c r="I401" t="str" s="60" cm="1">
        <f t="array" ref="I401">"Q"&amp;ROUNDUP(MONTH(A401)/3,0)</f>
        <v>Q1</v>
      </c>
      <c r="J401" t="s" s="57">
        <v>52</v>
      </c>
    </row>
    <row r="402" ht="13.55" customHeight="1">
      <c r="A402" s="51">
        <v>45695</v>
      </c>
      <c r="B402" t="s" s="52">
        <v>23</v>
      </c>
      <c r="C402" t="s" s="52">
        <v>83</v>
      </c>
      <c r="D402" t="s" s="52">
        <v>18</v>
      </c>
      <c r="E402" s="53">
        <v>4</v>
      </c>
      <c r="F402" s="54">
        <v>32216</v>
      </c>
      <c r="G402" s="54" cm="1">
        <f t="array" ref="G402">E402*F402</f>
        <v>128864</v>
      </c>
      <c r="H402" s="53" cm="1">
        <f t="array" ref="H402">YEAR(A402)</f>
        <v>2025</v>
      </c>
      <c r="I402" t="str" s="55" cm="1">
        <f t="array" ref="I402">"Q"&amp;ROUNDUP(MONTH(A402)/3,0)</f>
        <v>Q1</v>
      </c>
      <c r="J402" t="s" s="52">
        <v>52</v>
      </c>
    </row>
    <row r="403" ht="13.55" customHeight="1">
      <c r="A403" s="56">
        <v>45698</v>
      </c>
      <c r="B403" t="s" s="57">
        <v>22</v>
      </c>
      <c r="C403" t="s" s="57">
        <v>84</v>
      </c>
      <c r="D403" t="s" s="57">
        <v>17</v>
      </c>
      <c r="E403" s="58">
        <v>9</v>
      </c>
      <c r="F403" s="59">
        <v>40842</v>
      </c>
      <c r="G403" s="59" cm="1">
        <f t="array" ref="G403">E403*F403</f>
        <v>367578</v>
      </c>
      <c r="H403" s="58" cm="1">
        <f t="array" ref="H403">YEAR(A403)</f>
        <v>2025</v>
      </c>
      <c r="I403" t="str" s="60" cm="1">
        <f t="array" ref="I403">"Q"&amp;ROUNDUP(MONTH(A403)/3,0)</f>
        <v>Q1</v>
      </c>
      <c r="J403" t="s" s="57">
        <v>52</v>
      </c>
    </row>
    <row r="404" ht="13.55" customHeight="1">
      <c r="A404" s="51">
        <v>45698</v>
      </c>
      <c r="B404" t="s" s="52">
        <v>23</v>
      </c>
      <c r="C404" t="s" s="52">
        <v>84</v>
      </c>
      <c r="D404" t="s" s="52">
        <v>17</v>
      </c>
      <c r="E404" s="53">
        <v>17</v>
      </c>
      <c r="F404" s="54">
        <v>37854</v>
      </c>
      <c r="G404" s="54" cm="1">
        <f t="array" ref="G404">E404*F404</f>
        <v>643518</v>
      </c>
      <c r="H404" s="53" cm="1">
        <f t="array" ref="H404">YEAR(A404)</f>
        <v>2025</v>
      </c>
      <c r="I404" t="str" s="55" cm="1">
        <f t="array" ref="I404">"Q"&amp;ROUNDUP(MONTH(A404)/3,0)</f>
        <v>Q1</v>
      </c>
      <c r="J404" t="s" s="52">
        <v>52</v>
      </c>
    </row>
    <row r="405" ht="13.55" customHeight="1">
      <c r="A405" s="56">
        <v>45699</v>
      </c>
      <c r="B405" t="s" s="57">
        <v>23</v>
      </c>
      <c r="C405" t="s" s="57">
        <v>80</v>
      </c>
      <c r="D405" t="s" s="57">
        <v>17</v>
      </c>
      <c r="E405" s="58">
        <v>4</v>
      </c>
      <c r="F405" s="59">
        <v>42952</v>
      </c>
      <c r="G405" s="59" cm="1">
        <f t="array" ref="G405">E405*F405</f>
        <v>171808</v>
      </c>
      <c r="H405" s="58" cm="1">
        <f t="array" ref="H405">YEAR(A405)</f>
        <v>2025</v>
      </c>
      <c r="I405" t="str" s="60" cm="1">
        <f t="array" ref="I405">"Q"&amp;ROUNDUP(MONTH(A405)/3,0)</f>
        <v>Q1</v>
      </c>
      <c r="J405" t="s" s="57">
        <v>52</v>
      </c>
    </row>
    <row r="406" ht="13.55" customHeight="1">
      <c r="A406" s="51">
        <v>45699</v>
      </c>
      <c r="B406" t="s" s="52">
        <v>22</v>
      </c>
      <c r="C406" t="s" s="52">
        <v>83</v>
      </c>
      <c r="D406" t="s" s="52">
        <v>15</v>
      </c>
      <c r="E406" s="53">
        <v>11</v>
      </c>
      <c r="F406" s="54">
        <v>28559</v>
      </c>
      <c r="G406" s="54" cm="1">
        <f t="array" ref="G406">E406*F406</f>
        <v>314149</v>
      </c>
      <c r="H406" s="53" cm="1">
        <f t="array" ref="H406">YEAR(A406)</f>
        <v>2025</v>
      </c>
      <c r="I406" t="str" s="55" cm="1">
        <f t="array" ref="I406">"Q"&amp;ROUNDUP(MONTH(A406)/3,0)</f>
        <v>Q1</v>
      </c>
      <c r="J406" t="s" s="52">
        <v>52</v>
      </c>
    </row>
    <row r="407" ht="13.55" customHeight="1">
      <c r="A407" s="56">
        <v>45700</v>
      </c>
      <c r="B407" t="s" s="57">
        <v>22</v>
      </c>
      <c r="C407" t="s" s="57">
        <v>80</v>
      </c>
      <c r="D407" t="s" s="57">
        <v>17</v>
      </c>
      <c r="E407" s="58">
        <v>17</v>
      </c>
      <c r="F407" s="59">
        <v>13848</v>
      </c>
      <c r="G407" s="59" cm="1">
        <f t="array" ref="G407">E407*F407</f>
        <v>235416</v>
      </c>
      <c r="H407" s="58" cm="1">
        <f t="array" ref="H407">YEAR(A407)</f>
        <v>2025</v>
      </c>
      <c r="I407" t="str" s="60" cm="1">
        <f t="array" ref="I407">"Q"&amp;ROUNDUP(MONTH(A407)/3,0)</f>
        <v>Q1</v>
      </c>
      <c r="J407" t="s" s="57">
        <v>52</v>
      </c>
    </row>
    <row r="408" ht="13.55" customHeight="1">
      <c r="A408" s="51">
        <v>45702</v>
      </c>
      <c r="B408" t="s" s="52">
        <v>20</v>
      </c>
      <c r="C408" t="s" s="52">
        <v>83</v>
      </c>
      <c r="D408" t="s" s="52">
        <v>16</v>
      </c>
      <c r="E408" s="53">
        <v>2</v>
      </c>
      <c r="F408" s="54">
        <v>17207</v>
      </c>
      <c r="G408" s="54" cm="1">
        <f t="array" ref="G408">E408*F408</f>
        <v>34414</v>
      </c>
      <c r="H408" s="53" cm="1">
        <f t="array" ref="H408">YEAR(A408)</f>
        <v>2025</v>
      </c>
      <c r="I408" t="str" s="55" cm="1">
        <f t="array" ref="I408">"Q"&amp;ROUNDUP(MONTH(A408)/3,0)</f>
        <v>Q1</v>
      </c>
      <c r="J408" t="s" s="52">
        <v>52</v>
      </c>
    </row>
    <row r="409" ht="13.55" customHeight="1">
      <c r="A409" s="56">
        <v>45704</v>
      </c>
      <c r="B409" t="s" s="57">
        <v>22</v>
      </c>
      <c r="C409" t="s" s="57">
        <v>82</v>
      </c>
      <c r="D409" t="s" s="57">
        <v>15</v>
      </c>
      <c r="E409" s="58">
        <v>11</v>
      </c>
      <c r="F409" s="59">
        <v>23074</v>
      </c>
      <c r="G409" s="59" cm="1">
        <f t="array" ref="G409">E409*F409</f>
        <v>253814</v>
      </c>
      <c r="H409" s="58" cm="1">
        <f t="array" ref="H409">YEAR(A409)</f>
        <v>2025</v>
      </c>
      <c r="I409" t="str" s="60" cm="1">
        <f t="array" ref="I409">"Q"&amp;ROUNDUP(MONTH(A409)/3,0)</f>
        <v>Q1</v>
      </c>
      <c r="J409" t="s" s="57">
        <v>52</v>
      </c>
    </row>
    <row r="410" ht="13.55" customHeight="1">
      <c r="A410" s="51">
        <v>45705</v>
      </c>
      <c r="B410" t="s" s="52">
        <v>22</v>
      </c>
      <c r="C410" t="s" s="52">
        <v>80</v>
      </c>
      <c r="D410" t="s" s="52">
        <v>16</v>
      </c>
      <c r="E410" s="53">
        <v>19</v>
      </c>
      <c r="F410" s="54">
        <v>15561</v>
      </c>
      <c r="G410" s="54" cm="1">
        <f t="array" ref="G410">E410*F410</f>
        <v>295659</v>
      </c>
      <c r="H410" s="53" cm="1">
        <f t="array" ref="H410">YEAR(A410)</f>
        <v>2025</v>
      </c>
      <c r="I410" t="str" s="55" cm="1">
        <f t="array" ref="I410">"Q"&amp;ROUNDUP(MONTH(A410)/3,0)</f>
        <v>Q1</v>
      </c>
      <c r="J410" t="s" s="52">
        <v>52</v>
      </c>
    </row>
    <row r="411" ht="13.55" customHeight="1">
      <c r="A411" s="56">
        <v>45706</v>
      </c>
      <c r="B411" t="s" s="57">
        <v>20</v>
      </c>
      <c r="C411" t="s" s="57">
        <v>81</v>
      </c>
      <c r="D411" t="s" s="57">
        <v>17</v>
      </c>
      <c r="E411" s="58">
        <v>9</v>
      </c>
      <c r="F411" s="59">
        <v>17306</v>
      </c>
      <c r="G411" s="59" cm="1">
        <f t="array" ref="G411">E411*F411</f>
        <v>155754</v>
      </c>
      <c r="H411" s="58" cm="1">
        <f t="array" ref="H411">YEAR(A411)</f>
        <v>2025</v>
      </c>
      <c r="I411" t="str" s="60" cm="1">
        <f t="array" ref="I411">"Q"&amp;ROUNDUP(MONTH(A411)/3,0)</f>
        <v>Q1</v>
      </c>
      <c r="J411" t="s" s="57">
        <v>52</v>
      </c>
    </row>
    <row r="412" ht="13.55" customHeight="1">
      <c r="A412" s="51">
        <v>45706</v>
      </c>
      <c r="B412" t="s" s="52">
        <v>20</v>
      </c>
      <c r="C412" t="s" s="52">
        <v>84</v>
      </c>
      <c r="D412" t="s" s="52">
        <v>18</v>
      </c>
      <c r="E412" s="53">
        <v>8</v>
      </c>
      <c r="F412" s="54">
        <v>40710</v>
      </c>
      <c r="G412" s="54" cm="1">
        <f t="array" ref="G412">E412*F412</f>
        <v>325680</v>
      </c>
      <c r="H412" s="53" cm="1">
        <f t="array" ref="H412">YEAR(A412)</f>
        <v>2025</v>
      </c>
      <c r="I412" t="str" s="55" cm="1">
        <f t="array" ref="I412">"Q"&amp;ROUNDUP(MONTH(A412)/3,0)</f>
        <v>Q1</v>
      </c>
      <c r="J412" t="s" s="52">
        <v>52</v>
      </c>
    </row>
    <row r="413" ht="13.55" customHeight="1">
      <c r="A413" s="56">
        <v>45706</v>
      </c>
      <c r="B413" t="s" s="57">
        <v>21</v>
      </c>
      <c r="C413" t="s" s="57">
        <v>84</v>
      </c>
      <c r="D413" t="s" s="57">
        <v>18</v>
      </c>
      <c r="E413" s="58">
        <v>2</v>
      </c>
      <c r="F413" s="59">
        <v>21968</v>
      </c>
      <c r="G413" s="59" cm="1">
        <f t="array" ref="G413">E413*F413</f>
        <v>43936</v>
      </c>
      <c r="H413" s="58" cm="1">
        <f t="array" ref="H413">YEAR(A413)</f>
        <v>2025</v>
      </c>
      <c r="I413" t="str" s="60" cm="1">
        <f t="array" ref="I413">"Q"&amp;ROUNDUP(MONTH(A413)/3,0)</f>
        <v>Q1</v>
      </c>
      <c r="J413" t="s" s="57">
        <v>52</v>
      </c>
    </row>
    <row r="414" ht="13.55" customHeight="1">
      <c r="A414" s="51">
        <v>45707</v>
      </c>
      <c r="B414" t="s" s="52">
        <v>20</v>
      </c>
      <c r="C414" t="s" s="52">
        <v>80</v>
      </c>
      <c r="D414" t="s" s="52">
        <v>15</v>
      </c>
      <c r="E414" s="53">
        <v>6</v>
      </c>
      <c r="F414" s="54">
        <v>56759</v>
      </c>
      <c r="G414" s="54" cm="1">
        <f t="array" ref="G414">E414*F414</f>
        <v>340554</v>
      </c>
      <c r="H414" s="53" cm="1">
        <f t="array" ref="H414">YEAR(A414)</f>
        <v>2025</v>
      </c>
      <c r="I414" t="str" s="55" cm="1">
        <f t="array" ref="I414">"Q"&amp;ROUNDUP(MONTH(A414)/3,0)</f>
        <v>Q1</v>
      </c>
      <c r="J414" t="s" s="52">
        <v>52</v>
      </c>
    </row>
    <row r="415" ht="13.55" customHeight="1">
      <c r="A415" s="56">
        <v>45708</v>
      </c>
      <c r="B415" t="s" s="57">
        <v>22</v>
      </c>
      <c r="C415" t="s" s="57">
        <v>84</v>
      </c>
      <c r="D415" t="s" s="57">
        <v>16</v>
      </c>
      <c r="E415" s="58">
        <v>18</v>
      </c>
      <c r="F415" s="59">
        <v>61830</v>
      </c>
      <c r="G415" s="59" cm="1">
        <f t="array" ref="G415">E415*F415</f>
        <v>1112940</v>
      </c>
      <c r="H415" s="58" cm="1">
        <f t="array" ref="H415">YEAR(A415)</f>
        <v>2025</v>
      </c>
      <c r="I415" t="str" s="60" cm="1">
        <f t="array" ref="I415">"Q"&amp;ROUNDUP(MONTH(A415)/3,0)</f>
        <v>Q1</v>
      </c>
      <c r="J415" t="s" s="57">
        <v>52</v>
      </c>
    </row>
    <row r="416" ht="13.55" customHeight="1">
      <c r="A416" s="51">
        <v>45709</v>
      </c>
      <c r="B416" t="s" s="52">
        <v>23</v>
      </c>
      <c r="C416" t="s" s="52">
        <v>82</v>
      </c>
      <c r="D416" t="s" s="52">
        <v>17</v>
      </c>
      <c r="E416" s="53">
        <v>12</v>
      </c>
      <c r="F416" s="54">
        <v>79795</v>
      </c>
      <c r="G416" s="54" cm="1">
        <f t="array" ref="G416">E416*F416</f>
        <v>957540</v>
      </c>
      <c r="H416" s="53" cm="1">
        <f t="array" ref="H416">YEAR(A416)</f>
        <v>2025</v>
      </c>
      <c r="I416" t="str" s="55" cm="1">
        <f t="array" ref="I416">"Q"&amp;ROUNDUP(MONTH(A416)/3,0)</f>
        <v>Q1</v>
      </c>
      <c r="J416" t="s" s="52">
        <v>52</v>
      </c>
    </row>
    <row r="417" ht="13.55" customHeight="1">
      <c r="A417" s="56">
        <v>45710</v>
      </c>
      <c r="B417" t="s" s="57">
        <v>20</v>
      </c>
      <c r="C417" t="s" s="57">
        <v>82</v>
      </c>
      <c r="D417" t="s" s="57">
        <v>17</v>
      </c>
      <c r="E417" s="58">
        <v>17</v>
      </c>
      <c r="F417" s="59">
        <v>10668</v>
      </c>
      <c r="G417" s="59" cm="1">
        <f t="array" ref="G417">E417*F417</f>
        <v>181356</v>
      </c>
      <c r="H417" s="58" cm="1">
        <f t="array" ref="H417">YEAR(A417)</f>
        <v>2025</v>
      </c>
      <c r="I417" t="str" s="60" cm="1">
        <f t="array" ref="I417">"Q"&amp;ROUNDUP(MONTH(A417)/3,0)</f>
        <v>Q1</v>
      </c>
      <c r="J417" t="s" s="57">
        <v>52</v>
      </c>
    </row>
    <row r="418" ht="13.55" customHeight="1">
      <c r="A418" s="51">
        <v>45711</v>
      </c>
      <c r="B418" t="s" s="52">
        <v>20</v>
      </c>
      <c r="C418" t="s" s="52">
        <v>84</v>
      </c>
      <c r="D418" t="s" s="52">
        <v>16</v>
      </c>
      <c r="E418" s="53">
        <v>14</v>
      </c>
      <c r="F418" s="54">
        <v>58442</v>
      </c>
      <c r="G418" s="54" cm="1">
        <f t="array" ref="G418">E418*F418</f>
        <v>818188</v>
      </c>
      <c r="H418" s="53" cm="1">
        <f t="array" ref="H418">YEAR(A418)</f>
        <v>2025</v>
      </c>
      <c r="I418" t="str" s="55" cm="1">
        <f t="array" ref="I418">"Q"&amp;ROUNDUP(MONTH(A418)/3,0)</f>
        <v>Q1</v>
      </c>
      <c r="J418" t="s" s="52">
        <v>52</v>
      </c>
    </row>
    <row r="419" ht="13.55" customHeight="1">
      <c r="A419" s="56">
        <v>45711</v>
      </c>
      <c r="B419" t="s" s="57">
        <v>20</v>
      </c>
      <c r="C419" t="s" s="57">
        <v>80</v>
      </c>
      <c r="D419" t="s" s="57">
        <v>17</v>
      </c>
      <c r="E419" s="58">
        <v>6</v>
      </c>
      <c r="F419" s="59">
        <v>34963</v>
      </c>
      <c r="G419" s="59" cm="1">
        <f t="array" ref="G419">E419*F419</f>
        <v>209778</v>
      </c>
      <c r="H419" s="58" cm="1">
        <f t="array" ref="H419">YEAR(A419)</f>
        <v>2025</v>
      </c>
      <c r="I419" t="str" s="60" cm="1">
        <f t="array" ref="I419">"Q"&amp;ROUNDUP(MONTH(A419)/3,0)</f>
        <v>Q1</v>
      </c>
      <c r="J419" t="s" s="57">
        <v>52</v>
      </c>
    </row>
    <row r="420" ht="13.55" customHeight="1">
      <c r="A420" s="51">
        <v>45713</v>
      </c>
      <c r="B420" t="s" s="52">
        <v>20</v>
      </c>
      <c r="C420" t="s" s="52">
        <v>82</v>
      </c>
      <c r="D420" t="s" s="52">
        <v>17</v>
      </c>
      <c r="E420" s="53">
        <v>16</v>
      </c>
      <c r="F420" s="54">
        <v>62535</v>
      </c>
      <c r="G420" s="54" cm="1">
        <f t="array" ref="G420">E420*F420</f>
        <v>1000560</v>
      </c>
      <c r="H420" s="53" cm="1">
        <f t="array" ref="H420">YEAR(A420)</f>
        <v>2025</v>
      </c>
      <c r="I420" t="str" s="55" cm="1">
        <f t="array" ref="I420">"Q"&amp;ROUNDUP(MONTH(A420)/3,0)</f>
        <v>Q1</v>
      </c>
      <c r="J420" t="s" s="52">
        <v>52</v>
      </c>
    </row>
    <row r="421" ht="13.55" customHeight="1">
      <c r="A421" s="56">
        <v>45713</v>
      </c>
      <c r="B421" t="s" s="57">
        <v>20</v>
      </c>
      <c r="C421" t="s" s="57">
        <v>82</v>
      </c>
      <c r="D421" t="s" s="57">
        <v>17</v>
      </c>
      <c r="E421" s="58">
        <v>18</v>
      </c>
      <c r="F421" s="59">
        <v>56877</v>
      </c>
      <c r="G421" s="59" cm="1">
        <f t="array" ref="G421">E421*F421</f>
        <v>1023786</v>
      </c>
      <c r="H421" s="58" cm="1">
        <f t="array" ref="H421">YEAR(A421)</f>
        <v>2025</v>
      </c>
      <c r="I421" t="str" s="60" cm="1">
        <f t="array" ref="I421">"Q"&amp;ROUNDUP(MONTH(A421)/3,0)</f>
        <v>Q1</v>
      </c>
      <c r="J421" t="s" s="57">
        <v>52</v>
      </c>
    </row>
    <row r="422" ht="13.55" customHeight="1">
      <c r="A422" s="51">
        <v>45718</v>
      </c>
      <c r="B422" t="s" s="52">
        <v>22</v>
      </c>
      <c r="C422" t="s" s="52">
        <v>83</v>
      </c>
      <c r="D422" t="s" s="52">
        <v>16</v>
      </c>
      <c r="E422" s="53">
        <v>15</v>
      </c>
      <c r="F422" s="54">
        <v>71670</v>
      </c>
      <c r="G422" s="54" cm="1">
        <f t="array" ref="G422">E422*F422</f>
        <v>1075050</v>
      </c>
      <c r="H422" s="53" cm="1">
        <f t="array" ref="H422">YEAR(A422)</f>
        <v>2025</v>
      </c>
      <c r="I422" t="str" s="55" cm="1">
        <f t="array" ref="I422">"Q"&amp;ROUNDUP(MONTH(A422)/3,0)</f>
        <v>Q1</v>
      </c>
      <c r="J422" t="s" s="52">
        <v>53</v>
      </c>
    </row>
    <row r="423" ht="13.55" customHeight="1">
      <c r="A423" s="56">
        <v>45719</v>
      </c>
      <c r="B423" t="s" s="57">
        <v>21</v>
      </c>
      <c r="C423" t="s" s="57">
        <v>83</v>
      </c>
      <c r="D423" t="s" s="57">
        <v>16</v>
      </c>
      <c r="E423" s="58">
        <v>3</v>
      </c>
      <c r="F423" s="59">
        <v>7093</v>
      </c>
      <c r="G423" s="59" cm="1">
        <f t="array" ref="G423">E423*F423</f>
        <v>21279</v>
      </c>
      <c r="H423" s="58" cm="1">
        <f t="array" ref="H423">YEAR(A423)</f>
        <v>2025</v>
      </c>
      <c r="I423" t="str" s="60" cm="1">
        <f t="array" ref="I423">"Q"&amp;ROUNDUP(MONTH(A423)/3,0)</f>
        <v>Q1</v>
      </c>
      <c r="J423" t="s" s="57">
        <v>53</v>
      </c>
    </row>
    <row r="424" ht="13.55" customHeight="1">
      <c r="A424" s="51">
        <v>45723</v>
      </c>
      <c r="B424" t="s" s="52">
        <v>20</v>
      </c>
      <c r="C424" t="s" s="52">
        <v>83</v>
      </c>
      <c r="D424" t="s" s="52">
        <v>15</v>
      </c>
      <c r="E424" s="53">
        <v>13</v>
      </c>
      <c r="F424" s="54">
        <v>53920</v>
      </c>
      <c r="G424" s="54" cm="1">
        <f t="array" ref="G424">E424*F424</f>
        <v>700960</v>
      </c>
      <c r="H424" s="53" cm="1">
        <f t="array" ref="H424">YEAR(A424)</f>
        <v>2025</v>
      </c>
      <c r="I424" t="str" s="55" cm="1">
        <f t="array" ref="I424">"Q"&amp;ROUNDUP(MONTH(A424)/3,0)</f>
        <v>Q1</v>
      </c>
      <c r="J424" t="s" s="52">
        <v>53</v>
      </c>
    </row>
    <row r="425" ht="13.55" customHeight="1">
      <c r="A425" s="56">
        <v>45726</v>
      </c>
      <c r="B425" t="s" s="57">
        <v>21</v>
      </c>
      <c r="C425" t="s" s="57">
        <v>82</v>
      </c>
      <c r="D425" t="s" s="57">
        <v>17</v>
      </c>
      <c r="E425" s="58">
        <v>17</v>
      </c>
      <c r="F425" s="59">
        <v>16151</v>
      </c>
      <c r="G425" s="59" cm="1">
        <f t="array" ref="G425">E425*F425</f>
        <v>274567</v>
      </c>
      <c r="H425" s="58" cm="1">
        <f t="array" ref="H425">YEAR(A425)</f>
        <v>2025</v>
      </c>
      <c r="I425" t="str" s="60" cm="1">
        <f t="array" ref="I425">"Q"&amp;ROUNDUP(MONTH(A425)/3,0)</f>
        <v>Q1</v>
      </c>
      <c r="J425" t="s" s="57">
        <v>53</v>
      </c>
    </row>
    <row r="426" ht="13.55" customHeight="1">
      <c r="A426" s="51">
        <v>45727</v>
      </c>
      <c r="B426" t="s" s="52">
        <v>20</v>
      </c>
      <c r="C426" t="s" s="52">
        <v>81</v>
      </c>
      <c r="D426" t="s" s="52">
        <v>18</v>
      </c>
      <c r="E426" s="53">
        <v>8</v>
      </c>
      <c r="F426" s="54">
        <v>77827</v>
      </c>
      <c r="G426" s="54" cm="1">
        <f t="array" ref="G426">E426*F426</f>
        <v>622616</v>
      </c>
      <c r="H426" s="53" cm="1">
        <f t="array" ref="H426">YEAR(A426)</f>
        <v>2025</v>
      </c>
      <c r="I426" t="str" s="55" cm="1">
        <f t="array" ref="I426">"Q"&amp;ROUNDUP(MONTH(A426)/3,0)</f>
        <v>Q1</v>
      </c>
      <c r="J426" t="s" s="52">
        <v>53</v>
      </c>
    </row>
    <row r="427" ht="13.55" customHeight="1">
      <c r="A427" s="56">
        <v>45729</v>
      </c>
      <c r="B427" t="s" s="57">
        <v>21</v>
      </c>
      <c r="C427" t="s" s="57">
        <v>82</v>
      </c>
      <c r="D427" t="s" s="57">
        <v>16</v>
      </c>
      <c r="E427" s="58">
        <v>5</v>
      </c>
      <c r="F427" s="59">
        <v>33302</v>
      </c>
      <c r="G427" s="59" cm="1">
        <f t="array" ref="G427">E427*F427</f>
        <v>166510</v>
      </c>
      <c r="H427" s="58" cm="1">
        <f t="array" ref="H427">YEAR(A427)</f>
        <v>2025</v>
      </c>
      <c r="I427" t="str" s="60" cm="1">
        <f t="array" ref="I427">"Q"&amp;ROUNDUP(MONTH(A427)/3,0)</f>
        <v>Q1</v>
      </c>
      <c r="J427" t="s" s="57">
        <v>53</v>
      </c>
    </row>
    <row r="428" ht="13.55" customHeight="1">
      <c r="A428" s="51">
        <v>45730</v>
      </c>
      <c r="B428" t="s" s="52">
        <v>22</v>
      </c>
      <c r="C428" t="s" s="52">
        <v>78</v>
      </c>
      <c r="D428" t="s" s="52">
        <v>16</v>
      </c>
      <c r="E428" s="53">
        <v>5</v>
      </c>
      <c r="F428" s="54">
        <v>56717</v>
      </c>
      <c r="G428" s="54" cm="1">
        <f t="array" ref="G428">E428*F428</f>
        <v>283585</v>
      </c>
      <c r="H428" s="53" cm="1">
        <f t="array" ref="H428">YEAR(A428)</f>
        <v>2025</v>
      </c>
      <c r="I428" t="str" s="55" cm="1">
        <f t="array" ref="I428">"Q"&amp;ROUNDUP(MONTH(A428)/3,0)</f>
        <v>Q1</v>
      </c>
      <c r="J428" t="s" s="52">
        <v>53</v>
      </c>
    </row>
    <row r="429" ht="13.55" customHeight="1">
      <c r="A429" s="56">
        <v>45732</v>
      </c>
      <c r="B429" t="s" s="57">
        <v>20</v>
      </c>
      <c r="C429" t="s" s="57">
        <v>80</v>
      </c>
      <c r="D429" t="s" s="57">
        <v>16</v>
      </c>
      <c r="E429" s="58">
        <v>7</v>
      </c>
      <c r="F429" s="59">
        <v>10368</v>
      </c>
      <c r="G429" s="59" cm="1">
        <f t="array" ref="G429">E429*F429</f>
        <v>72576</v>
      </c>
      <c r="H429" s="58" cm="1">
        <f t="array" ref="H429">YEAR(A429)</f>
        <v>2025</v>
      </c>
      <c r="I429" t="str" s="60" cm="1">
        <f t="array" ref="I429">"Q"&amp;ROUNDUP(MONTH(A429)/3,0)</f>
        <v>Q1</v>
      </c>
      <c r="J429" t="s" s="57">
        <v>53</v>
      </c>
    </row>
    <row r="430" ht="13.55" customHeight="1">
      <c r="A430" s="51">
        <v>45733</v>
      </c>
      <c r="B430" t="s" s="52">
        <v>20</v>
      </c>
      <c r="C430" t="s" s="52">
        <v>82</v>
      </c>
      <c r="D430" t="s" s="52">
        <v>16</v>
      </c>
      <c r="E430" s="53">
        <v>19</v>
      </c>
      <c r="F430" s="54">
        <v>55940</v>
      </c>
      <c r="G430" s="54" cm="1">
        <f t="array" ref="G430">E430*F430</f>
        <v>1062860</v>
      </c>
      <c r="H430" s="53" cm="1">
        <f t="array" ref="H430">YEAR(A430)</f>
        <v>2025</v>
      </c>
      <c r="I430" t="str" s="55" cm="1">
        <f t="array" ref="I430">"Q"&amp;ROUNDUP(MONTH(A430)/3,0)</f>
        <v>Q1</v>
      </c>
      <c r="J430" t="s" s="52">
        <v>53</v>
      </c>
    </row>
    <row r="431" ht="13.55" customHeight="1">
      <c r="A431" s="56">
        <v>45733</v>
      </c>
      <c r="B431" t="s" s="57">
        <v>21</v>
      </c>
      <c r="C431" t="s" s="57">
        <v>82</v>
      </c>
      <c r="D431" t="s" s="57">
        <v>17</v>
      </c>
      <c r="E431" s="58">
        <v>4</v>
      </c>
      <c r="F431" s="59">
        <v>17100</v>
      </c>
      <c r="G431" s="59" cm="1">
        <f t="array" ref="G431">E431*F431</f>
        <v>68400</v>
      </c>
      <c r="H431" s="58" cm="1">
        <f t="array" ref="H431">YEAR(A431)</f>
        <v>2025</v>
      </c>
      <c r="I431" t="str" s="60" cm="1">
        <f t="array" ref="I431">"Q"&amp;ROUNDUP(MONTH(A431)/3,0)</f>
        <v>Q1</v>
      </c>
      <c r="J431" t="s" s="57">
        <v>53</v>
      </c>
    </row>
    <row r="432" ht="13.55" customHeight="1">
      <c r="A432" s="51">
        <v>45735</v>
      </c>
      <c r="B432" t="s" s="52">
        <v>20</v>
      </c>
      <c r="C432" t="s" s="52">
        <v>84</v>
      </c>
      <c r="D432" t="s" s="52">
        <v>16</v>
      </c>
      <c r="E432" s="53">
        <v>16</v>
      </c>
      <c r="F432" s="54">
        <v>70149</v>
      </c>
      <c r="G432" s="54" cm="1">
        <f t="array" ref="G432">E432*F432</f>
        <v>1122384</v>
      </c>
      <c r="H432" s="53" cm="1">
        <f t="array" ref="H432">YEAR(A432)</f>
        <v>2025</v>
      </c>
      <c r="I432" t="str" s="55" cm="1">
        <f t="array" ref="I432">"Q"&amp;ROUNDUP(MONTH(A432)/3,0)</f>
        <v>Q1</v>
      </c>
      <c r="J432" t="s" s="52">
        <v>53</v>
      </c>
    </row>
    <row r="433" ht="13.55" customHeight="1">
      <c r="A433" s="56">
        <v>45736</v>
      </c>
      <c r="B433" t="s" s="57">
        <v>20</v>
      </c>
      <c r="C433" t="s" s="57">
        <v>82</v>
      </c>
      <c r="D433" t="s" s="57">
        <v>18</v>
      </c>
      <c r="E433" s="58">
        <v>13</v>
      </c>
      <c r="F433" s="59">
        <v>29000</v>
      </c>
      <c r="G433" s="59" cm="1">
        <f t="array" ref="G433">E433*F433</f>
        <v>377000</v>
      </c>
      <c r="H433" s="58" cm="1">
        <f t="array" ref="H433">YEAR(A433)</f>
        <v>2025</v>
      </c>
      <c r="I433" t="str" s="60" cm="1">
        <f t="array" ref="I433">"Q"&amp;ROUNDUP(MONTH(A433)/3,0)</f>
        <v>Q1</v>
      </c>
      <c r="J433" t="s" s="57">
        <v>53</v>
      </c>
    </row>
    <row r="434" ht="13.55" customHeight="1">
      <c r="A434" s="51">
        <v>45736</v>
      </c>
      <c r="B434" t="s" s="52">
        <v>21</v>
      </c>
      <c r="C434" t="s" s="52">
        <v>82</v>
      </c>
      <c r="D434" t="s" s="52">
        <v>18</v>
      </c>
      <c r="E434" s="53">
        <v>8</v>
      </c>
      <c r="F434" s="54">
        <v>17497</v>
      </c>
      <c r="G434" s="54" cm="1">
        <f t="array" ref="G434">E434*F434</f>
        <v>139976</v>
      </c>
      <c r="H434" s="53" cm="1">
        <f t="array" ref="H434">YEAR(A434)</f>
        <v>2025</v>
      </c>
      <c r="I434" t="str" s="55" cm="1">
        <f t="array" ref="I434">"Q"&amp;ROUNDUP(MONTH(A434)/3,0)</f>
        <v>Q1</v>
      </c>
      <c r="J434" t="s" s="52">
        <v>53</v>
      </c>
    </row>
    <row r="435" ht="13.55" customHeight="1">
      <c r="A435" s="56">
        <v>45738</v>
      </c>
      <c r="B435" t="s" s="57">
        <v>22</v>
      </c>
      <c r="C435" t="s" s="57">
        <v>81</v>
      </c>
      <c r="D435" t="s" s="57">
        <v>18</v>
      </c>
      <c r="E435" s="58">
        <v>6</v>
      </c>
      <c r="F435" s="59">
        <v>19031</v>
      </c>
      <c r="G435" s="59" cm="1">
        <f t="array" ref="G435">E435*F435</f>
        <v>114186</v>
      </c>
      <c r="H435" s="58" cm="1">
        <f t="array" ref="H435">YEAR(A435)</f>
        <v>2025</v>
      </c>
      <c r="I435" t="str" s="60" cm="1">
        <f t="array" ref="I435">"Q"&amp;ROUNDUP(MONTH(A435)/3,0)</f>
        <v>Q1</v>
      </c>
      <c r="J435" t="s" s="57">
        <v>53</v>
      </c>
    </row>
    <row r="436" ht="13.55" customHeight="1">
      <c r="A436" s="51">
        <v>45741</v>
      </c>
      <c r="B436" t="s" s="52">
        <v>21</v>
      </c>
      <c r="C436" t="s" s="52">
        <v>83</v>
      </c>
      <c r="D436" t="s" s="52">
        <v>17</v>
      </c>
      <c r="E436" s="53">
        <v>18</v>
      </c>
      <c r="F436" s="54">
        <v>62796</v>
      </c>
      <c r="G436" s="54" cm="1">
        <f t="array" ref="G436">E436*F436</f>
        <v>1130328</v>
      </c>
      <c r="H436" s="53" cm="1">
        <f t="array" ref="H436">YEAR(A436)</f>
        <v>2025</v>
      </c>
      <c r="I436" t="str" s="55" cm="1">
        <f t="array" ref="I436">"Q"&amp;ROUNDUP(MONTH(A436)/3,0)</f>
        <v>Q1</v>
      </c>
      <c r="J436" t="s" s="52">
        <v>53</v>
      </c>
    </row>
    <row r="437" ht="13.55" customHeight="1">
      <c r="A437" s="56">
        <v>45742</v>
      </c>
      <c r="B437" t="s" s="57">
        <v>21</v>
      </c>
      <c r="C437" t="s" s="57">
        <v>82</v>
      </c>
      <c r="D437" t="s" s="57">
        <v>17</v>
      </c>
      <c r="E437" s="58">
        <v>3</v>
      </c>
      <c r="F437" s="59">
        <v>11078</v>
      </c>
      <c r="G437" s="59" cm="1">
        <f t="array" ref="G437">E437*F437</f>
        <v>33234</v>
      </c>
      <c r="H437" s="58" cm="1">
        <f t="array" ref="H437">YEAR(A437)</f>
        <v>2025</v>
      </c>
      <c r="I437" t="str" s="60" cm="1">
        <f t="array" ref="I437">"Q"&amp;ROUNDUP(MONTH(A437)/3,0)</f>
        <v>Q1</v>
      </c>
      <c r="J437" t="s" s="57">
        <v>53</v>
      </c>
    </row>
    <row r="438" ht="13.55" customHeight="1">
      <c r="A438" s="51">
        <v>45744</v>
      </c>
      <c r="B438" t="s" s="52">
        <v>20</v>
      </c>
      <c r="C438" t="s" s="52">
        <v>81</v>
      </c>
      <c r="D438" t="s" s="52">
        <v>18</v>
      </c>
      <c r="E438" s="53">
        <v>2</v>
      </c>
      <c r="F438" s="54">
        <v>38687</v>
      </c>
      <c r="G438" s="54" cm="1">
        <f t="array" ref="G438">E438*F438</f>
        <v>77374</v>
      </c>
      <c r="H438" s="53" cm="1">
        <f t="array" ref="H438">YEAR(A438)</f>
        <v>2025</v>
      </c>
      <c r="I438" t="str" s="55" cm="1">
        <f t="array" ref="I438">"Q"&amp;ROUNDUP(MONTH(A438)/3,0)</f>
        <v>Q1</v>
      </c>
      <c r="J438" t="s" s="52">
        <v>53</v>
      </c>
    </row>
    <row r="439" ht="13.55" customHeight="1">
      <c r="A439" s="56">
        <v>45744</v>
      </c>
      <c r="B439" t="s" s="57">
        <v>20</v>
      </c>
      <c r="C439" t="s" s="57">
        <v>82</v>
      </c>
      <c r="D439" t="s" s="57">
        <v>17</v>
      </c>
      <c r="E439" s="58">
        <v>12</v>
      </c>
      <c r="F439" s="59">
        <v>6881</v>
      </c>
      <c r="G439" s="59" cm="1">
        <f t="array" ref="G439">E439*F439</f>
        <v>82572</v>
      </c>
      <c r="H439" s="58" cm="1">
        <f t="array" ref="H439">YEAR(A439)</f>
        <v>2025</v>
      </c>
      <c r="I439" t="str" s="60" cm="1">
        <f t="array" ref="I439">"Q"&amp;ROUNDUP(MONTH(A439)/3,0)</f>
        <v>Q1</v>
      </c>
      <c r="J439" t="s" s="57">
        <v>53</v>
      </c>
    </row>
    <row r="440" ht="13.55" customHeight="1">
      <c r="A440" s="51">
        <v>45744</v>
      </c>
      <c r="B440" t="s" s="52">
        <v>22</v>
      </c>
      <c r="C440" t="s" s="52">
        <v>82</v>
      </c>
      <c r="D440" t="s" s="52">
        <v>17</v>
      </c>
      <c r="E440" s="53">
        <v>14</v>
      </c>
      <c r="F440" s="54">
        <v>43712</v>
      </c>
      <c r="G440" s="54" cm="1">
        <f t="array" ref="G440">E440*F440</f>
        <v>611968</v>
      </c>
      <c r="H440" s="53" cm="1">
        <f t="array" ref="H440">YEAR(A440)</f>
        <v>2025</v>
      </c>
      <c r="I440" t="str" s="55" cm="1">
        <f t="array" ref="I440">"Q"&amp;ROUNDUP(MONTH(A440)/3,0)</f>
        <v>Q1</v>
      </c>
      <c r="J440" t="s" s="52">
        <v>53</v>
      </c>
    </row>
    <row r="441" ht="13.55" customHeight="1">
      <c r="A441" s="56">
        <v>45746</v>
      </c>
      <c r="B441" t="s" s="57">
        <v>20</v>
      </c>
      <c r="C441" t="s" s="57">
        <v>82</v>
      </c>
      <c r="D441" t="s" s="57">
        <v>15</v>
      </c>
      <c r="E441" s="58">
        <v>12</v>
      </c>
      <c r="F441" s="59">
        <v>6920</v>
      </c>
      <c r="G441" s="59" cm="1">
        <f t="array" ref="G441">E441*F441</f>
        <v>83040</v>
      </c>
      <c r="H441" s="58" cm="1">
        <f t="array" ref="H441">YEAR(A441)</f>
        <v>2025</v>
      </c>
      <c r="I441" t="str" s="60" cm="1">
        <f t="array" ref="I441">"Q"&amp;ROUNDUP(MONTH(A441)/3,0)</f>
        <v>Q1</v>
      </c>
      <c r="J441" t="s" s="57">
        <v>53</v>
      </c>
    </row>
    <row r="442" ht="13.55" customHeight="1">
      <c r="A442" s="51">
        <v>45746</v>
      </c>
      <c r="B442" t="s" s="52">
        <v>22</v>
      </c>
      <c r="C442" t="s" s="52">
        <v>78</v>
      </c>
      <c r="D442" t="s" s="52">
        <v>16</v>
      </c>
      <c r="E442" s="53">
        <v>3</v>
      </c>
      <c r="F442" s="54">
        <v>53847</v>
      </c>
      <c r="G442" s="54" cm="1">
        <f t="array" ref="G442">E442*F442</f>
        <v>161541</v>
      </c>
      <c r="H442" s="53" cm="1">
        <f t="array" ref="H442">YEAR(A442)</f>
        <v>2025</v>
      </c>
      <c r="I442" t="str" s="55" cm="1">
        <f t="array" ref="I442">"Q"&amp;ROUNDUP(MONTH(A442)/3,0)</f>
        <v>Q1</v>
      </c>
      <c r="J442" t="s" s="52">
        <v>53</v>
      </c>
    </row>
    <row r="443" ht="13.55" customHeight="1">
      <c r="A443" s="56">
        <v>45747</v>
      </c>
      <c r="B443" t="s" s="57">
        <v>22</v>
      </c>
      <c r="C443" t="s" s="57">
        <v>81</v>
      </c>
      <c r="D443" t="s" s="57">
        <v>17</v>
      </c>
      <c r="E443" s="58">
        <v>9</v>
      </c>
      <c r="F443" s="59">
        <v>59710</v>
      </c>
      <c r="G443" s="59" cm="1">
        <f t="array" ref="G443">E443*F443</f>
        <v>537390</v>
      </c>
      <c r="H443" s="58" cm="1">
        <f t="array" ref="H443">YEAR(A443)</f>
        <v>2025</v>
      </c>
      <c r="I443" t="str" s="60" cm="1">
        <f t="array" ref="I443">"Q"&amp;ROUNDUP(MONTH(A443)/3,0)</f>
        <v>Q1</v>
      </c>
      <c r="J443" t="s" s="57">
        <v>53</v>
      </c>
    </row>
    <row r="444" ht="13.55" customHeight="1">
      <c r="A444" s="51">
        <v>45747</v>
      </c>
      <c r="B444" t="s" s="52">
        <v>21</v>
      </c>
      <c r="C444" t="s" s="52">
        <v>84</v>
      </c>
      <c r="D444" t="s" s="52">
        <v>16</v>
      </c>
      <c r="E444" s="53">
        <v>6</v>
      </c>
      <c r="F444" s="54">
        <v>15442</v>
      </c>
      <c r="G444" s="54" cm="1">
        <f t="array" ref="G444">E444*F444</f>
        <v>92652</v>
      </c>
      <c r="H444" s="53" cm="1">
        <f t="array" ref="H444">YEAR(A444)</f>
        <v>2025</v>
      </c>
      <c r="I444" t="str" s="55" cm="1">
        <f t="array" ref="I444">"Q"&amp;ROUNDUP(MONTH(A444)/3,0)</f>
        <v>Q1</v>
      </c>
      <c r="J444" t="s" s="52">
        <v>53</v>
      </c>
    </row>
    <row r="445" ht="13.55" customHeight="1">
      <c r="A445" s="56">
        <v>45747</v>
      </c>
      <c r="B445" t="s" s="57">
        <v>22</v>
      </c>
      <c r="C445" t="s" s="57">
        <v>81</v>
      </c>
      <c r="D445" t="s" s="57">
        <v>17</v>
      </c>
      <c r="E445" s="58">
        <v>12</v>
      </c>
      <c r="F445" s="59">
        <v>74724</v>
      </c>
      <c r="G445" s="59" cm="1">
        <f t="array" ref="G445">E445*F445</f>
        <v>896688</v>
      </c>
      <c r="H445" s="58" cm="1">
        <f t="array" ref="H445">YEAR(A445)</f>
        <v>2025</v>
      </c>
      <c r="I445" t="str" s="60" cm="1">
        <f t="array" ref="I445">"Q"&amp;ROUNDUP(MONTH(A445)/3,0)</f>
        <v>Q1</v>
      </c>
      <c r="J445" t="s" s="57">
        <v>53</v>
      </c>
    </row>
    <row r="446" ht="13.55" customHeight="1">
      <c r="A446" s="51">
        <v>45748</v>
      </c>
      <c r="B446" t="s" s="52">
        <v>23</v>
      </c>
      <c r="C446" t="s" s="52">
        <v>80</v>
      </c>
      <c r="D446" t="s" s="52">
        <v>15</v>
      </c>
      <c r="E446" s="53">
        <v>11</v>
      </c>
      <c r="F446" s="54">
        <v>74460</v>
      </c>
      <c r="G446" s="54" cm="1">
        <f t="array" ref="G446">E446*F446</f>
        <v>819060</v>
      </c>
      <c r="H446" s="53" cm="1">
        <f t="array" ref="H446">YEAR(A446)</f>
        <v>2025</v>
      </c>
      <c r="I446" t="str" s="55" cm="1">
        <f t="array" ref="I446">"Q"&amp;ROUNDUP(MONTH(A446)/3,0)</f>
        <v>Q2</v>
      </c>
      <c r="J446" t="s" s="52">
        <v>54</v>
      </c>
    </row>
    <row r="447" ht="13.55" customHeight="1">
      <c r="A447" s="56">
        <v>45750</v>
      </c>
      <c r="B447" t="s" s="57">
        <v>21</v>
      </c>
      <c r="C447" t="s" s="57">
        <v>83</v>
      </c>
      <c r="D447" t="s" s="57">
        <v>17</v>
      </c>
      <c r="E447" s="58">
        <v>3</v>
      </c>
      <c r="F447" s="59">
        <v>31049</v>
      </c>
      <c r="G447" s="59" cm="1">
        <f t="array" ref="G447">E447*F447</f>
        <v>93147</v>
      </c>
      <c r="H447" s="58" cm="1">
        <f t="array" ref="H447">YEAR(A447)</f>
        <v>2025</v>
      </c>
      <c r="I447" t="str" s="60" cm="1">
        <f t="array" ref="I447">"Q"&amp;ROUNDUP(MONTH(A447)/3,0)</f>
        <v>Q2</v>
      </c>
      <c r="J447" t="s" s="57">
        <v>54</v>
      </c>
    </row>
    <row r="448" ht="13.55" customHeight="1">
      <c r="A448" s="51">
        <v>45751</v>
      </c>
      <c r="B448" t="s" s="52">
        <v>22</v>
      </c>
      <c r="C448" t="s" s="52">
        <v>80</v>
      </c>
      <c r="D448" t="s" s="52">
        <v>15</v>
      </c>
      <c r="E448" s="53">
        <v>18</v>
      </c>
      <c r="F448" s="54">
        <v>55357</v>
      </c>
      <c r="G448" s="54" cm="1">
        <f t="array" ref="G448">E448*F448</f>
        <v>996426</v>
      </c>
      <c r="H448" s="53" cm="1">
        <f t="array" ref="H448">YEAR(A448)</f>
        <v>2025</v>
      </c>
      <c r="I448" t="str" s="55" cm="1">
        <f t="array" ref="I448">"Q"&amp;ROUNDUP(MONTH(A448)/3,0)</f>
        <v>Q2</v>
      </c>
      <c r="J448" t="s" s="52">
        <v>54</v>
      </c>
    </row>
    <row r="449" ht="13.55" customHeight="1">
      <c r="A449" s="56">
        <v>45751</v>
      </c>
      <c r="B449" t="s" s="57">
        <v>20</v>
      </c>
      <c r="C449" t="s" s="57">
        <v>81</v>
      </c>
      <c r="D449" t="s" s="57">
        <v>17</v>
      </c>
      <c r="E449" s="58">
        <v>4</v>
      </c>
      <c r="F449" s="59">
        <v>33230</v>
      </c>
      <c r="G449" s="59" cm="1">
        <f t="array" ref="G449">E449*F449</f>
        <v>132920</v>
      </c>
      <c r="H449" s="58" cm="1">
        <f t="array" ref="H449">YEAR(A449)</f>
        <v>2025</v>
      </c>
      <c r="I449" t="str" s="60" cm="1">
        <f t="array" ref="I449">"Q"&amp;ROUNDUP(MONTH(A449)/3,0)</f>
        <v>Q2</v>
      </c>
      <c r="J449" t="s" s="57">
        <v>54</v>
      </c>
    </row>
    <row r="450" ht="13.55" customHeight="1">
      <c r="A450" s="51">
        <v>45752</v>
      </c>
      <c r="B450" t="s" s="52">
        <v>20</v>
      </c>
      <c r="C450" t="s" s="52">
        <v>83</v>
      </c>
      <c r="D450" t="s" s="52">
        <v>16</v>
      </c>
      <c r="E450" s="53">
        <v>18</v>
      </c>
      <c r="F450" s="54">
        <v>67061</v>
      </c>
      <c r="G450" s="54" cm="1">
        <f t="array" ref="G450">E450*F450</f>
        <v>1207098</v>
      </c>
      <c r="H450" s="53" cm="1">
        <f t="array" ref="H450">YEAR(A450)</f>
        <v>2025</v>
      </c>
      <c r="I450" t="str" s="55" cm="1">
        <f t="array" ref="I450">"Q"&amp;ROUNDUP(MONTH(A450)/3,0)</f>
        <v>Q2</v>
      </c>
      <c r="J450" t="s" s="52">
        <v>54</v>
      </c>
    </row>
    <row r="451" ht="13.55" customHeight="1">
      <c r="A451" s="56">
        <v>45752</v>
      </c>
      <c r="B451" t="s" s="57">
        <v>22</v>
      </c>
      <c r="C451" t="s" s="57">
        <v>84</v>
      </c>
      <c r="D451" t="s" s="57">
        <v>15</v>
      </c>
      <c r="E451" s="58">
        <v>3</v>
      </c>
      <c r="F451" s="59">
        <v>41343</v>
      </c>
      <c r="G451" s="59" cm="1">
        <f t="array" ref="G451">E451*F451</f>
        <v>124029</v>
      </c>
      <c r="H451" s="58" cm="1">
        <f t="array" ref="H451">YEAR(A451)</f>
        <v>2025</v>
      </c>
      <c r="I451" t="str" s="60" cm="1">
        <f t="array" ref="I451">"Q"&amp;ROUNDUP(MONTH(A451)/3,0)</f>
        <v>Q2</v>
      </c>
      <c r="J451" t="s" s="57">
        <v>54</v>
      </c>
    </row>
    <row r="452" ht="13.55" customHeight="1">
      <c r="A452" s="51">
        <v>45753</v>
      </c>
      <c r="B452" t="s" s="52">
        <v>23</v>
      </c>
      <c r="C452" t="s" s="52">
        <v>78</v>
      </c>
      <c r="D452" t="s" s="52">
        <v>16</v>
      </c>
      <c r="E452" s="53">
        <v>19</v>
      </c>
      <c r="F452" s="54">
        <v>78788</v>
      </c>
      <c r="G452" s="54" cm="1">
        <f t="array" ref="G452">E452*F452</f>
        <v>1496972</v>
      </c>
      <c r="H452" s="53" cm="1">
        <f t="array" ref="H452">YEAR(A452)</f>
        <v>2025</v>
      </c>
      <c r="I452" t="str" s="55" cm="1">
        <f t="array" ref="I452">"Q"&amp;ROUNDUP(MONTH(A452)/3,0)</f>
        <v>Q2</v>
      </c>
      <c r="J452" t="s" s="52">
        <v>54</v>
      </c>
    </row>
    <row r="453" ht="13.55" customHeight="1">
      <c r="A453" s="56">
        <v>45753</v>
      </c>
      <c r="B453" t="s" s="57">
        <v>20</v>
      </c>
      <c r="C453" t="s" s="57">
        <v>80</v>
      </c>
      <c r="D453" t="s" s="57">
        <v>17</v>
      </c>
      <c r="E453" s="58">
        <v>12</v>
      </c>
      <c r="F453" s="59">
        <v>52406</v>
      </c>
      <c r="G453" s="59" cm="1">
        <f t="array" ref="G453">E453*F453</f>
        <v>628872</v>
      </c>
      <c r="H453" s="58" cm="1">
        <f t="array" ref="H453">YEAR(A453)</f>
        <v>2025</v>
      </c>
      <c r="I453" t="str" s="60" cm="1">
        <f t="array" ref="I453">"Q"&amp;ROUNDUP(MONTH(A453)/3,0)</f>
        <v>Q2</v>
      </c>
      <c r="J453" t="s" s="57">
        <v>54</v>
      </c>
    </row>
    <row r="454" ht="13.55" customHeight="1">
      <c r="A454" s="51">
        <v>45755</v>
      </c>
      <c r="B454" t="s" s="52">
        <v>21</v>
      </c>
      <c r="C454" t="s" s="52">
        <v>84</v>
      </c>
      <c r="D454" t="s" s="52">
        <v>16</v>
      </c>
      <c r="E454" s="53">
        <v>13</v>
      </c>
      <c r="F454" s="54">
        <v>7890</v>
      </c>
      <c r="G454" s="54" cm="1">
        <f t="array" ref="G454">E454*F454</f>
        <v>102570</v>
      </c>
      <c r="H454" s="53" cm="1">
        <f t="array" ref="H454">YEAR(A454)</f>
        <v>2025</v>
      </c>
      <c r="I454" t="str" s="55" cm="1">
        <f t="array" ref="I454">"Q"&amp;ROUNDUP(MONTH(A454)/3,0)</f>
        <v>Q2</v>
      </c>
      <c r="J454" t="s" s="52">
        <v>54</v>
      </c>
    </row>
    <row r="455" ht="13.55" customHeight="1">
      <c r="A455" s="56">
        <v>45758</v>
      </c>
      <c r="B455" t="s" s="57">
        <v>20</v>
      </c>
      <c r="C455" t="s" s="57">
        <v>83</v>
      </c>
      <c r="D455" t="s" s="57">
        <v>18</v>
      </c>
      <c r="E455" s="58">
        <v>15</v>
      </c>
      <c r="F455" s="59">
        <v>28620</v>
      </c>
      <c r="G455" s="59" cm="1">
        <f t="array" ref="G455">E455*F455</f>
        <v>429300</v>
      </c>
      <c r="H455" s="58" cm="1">
        <f t="array" ref="H455">YEAR(A455)</f>
        <v>2025</v>
      </c>
      <c r="I455" t="str" s="60" cm="1">
        <f t="array" ref="I455">"Q"&amp;ROUNDUP(MONTH(A455)/3,0)</f>
        <v>Q2</v>
      </c>
      <c r="J455" t="s" s="57">
        <v>54</v>
      </c>
    </row>
    <row r="456" ht="13.55" customHeight="1">
      <c r="A456" s="51">
        <v>45760</v>
      </c>
      <c r="B456" t="s" s="52">
        <v>23</v>
      </c>
      <c r="C456" t="s" s="52">
        <v>81</v>
      </c>
      <c r="D456" t="s" s="52">
        <v>16</v>
      </c>
      <c r="E456" s="53">
        <v>14</v>
      </c>
      <c r="F456" s="54">
        <v>15703</v>
      </c>
      <c r="G456" s="54" cm="1">
        <f t="array" ref="G456">E456*F456</f>
        <v>219842</v>
      </c>
      <c r="H456" s="53" cm="1">
        <f t="array" ref="H456">YEAR(A456)</f>
        <v>2025</v>
      </c>
      <c r="I456" t="str" s="55" cm="1">
        <f t="array" ref="I456">"Q"&amp;ROUNDUP(MONTH(A456)/3,0)</f>
        <v>Q2</v>
      </c>
      <c r="J456" t="s" s="52">
        <v>54</v>
      </c>
    </row>
    <row r="457" ht="13.55" customHeight="1">
      <c r="A457" s="56">
        <v>45761</v>
      </c>
      <c r="B457" t="s" s="57">
        <v>20</v>
      </c>
      <c r="C457" t="s" s="57">
        <v>82</v>
      </c>
      <c r="D457" t="s" s="57">
        <v>16</v>
      </c>
      <c r="E457" s="58">
        <v>8</v>
      </c>
      <c r="F457" s="59">
        <v>46258</v>
      </c>
      <c r="G457" s="59" cm="1">
        <f t="array" ref="G457">E457*F457</f>
        <v>370064</v>
      </c>
      <c r="H457" s="58" cm="1">
        <f t="array" ref="H457">YEAR(A457)</f>
        <v>2025</v>
      </c>
      <c r="I457" t="str" s="60" cm="1">
        <f t="array" ref="I457">"Q"&amp;ROUNDUP(MONTH(A457)/3,0)</f>
        <v>Q2</v>
      </c>
      <c r="J457" t="s" s="57">
        <v>54</v>
      </c>
    </row>
    <row r="458" ht="13.55" customHeight="1">
      <c r="A458" s="51">
        <v>45762</v>
      </c>
      <c r="B458" t="s" s="52">
        <v>23</v>
      </c>
      <c r="C458" t="s" s="52">
        <v>81</v>
      </c>
      <c r="D458" t="s" s="52">
        <v>15</v>
      </c>
      <c r="E458" s="53">
        <v>16</v>
      </c>
      <c r="F458" s="54">
        <v>57446</v>
      </c>
      <c r="G458" s="54" cm="1">
        <f t="array" ref="G458">E458*F458</f>
        <v>919136</v>
      </c>
      <c r="H458" s="53" cm="1">
        <f t="array" ref="H458">YEAR(A458)</f>
        <v>2025</v>
      </c>
      <c r="I458" t="str" s="55" cm="1">
        <f t="array" ref="I458">"Q"&amp;ROUNDUP(MONTH(A458)/3,0)</f>
        <v>Q2</v>
      </c>
      <c r="J458" t="s" s="52">
        <v>54</v>
      </c>
    </row>
    <row r="459" ht="13.55" customHeight="1">
      <c r="A459" s="56">
        <v>45762</v>
      </c>
      <c r="B459" t="s" s="57">
        <v>22</v>
      </c>
      <c r="C459" t="s" s="57">
        <v>80</v>
      </c>
      <c r="D459" t="s" s="57">
        <v>15</v>
      </c>
      <c r="E459" s="58">
        <v>17</v>
      </c>
      <c r="F459" s="59">
        <v>23323</v>
      </c>
      <c r="G459" s="59" cm="1">
        <f t="array" ref="G459">E459*F459</f>
        <v>396491</v>
      </c>
      <c r="H459" s="58" cm="1">
        <f t="array" ref="H459">YEAR(A459)</f>
        <v>2025</v>
      </c>
      <c r="I459" t="str" s="60" cm="1">
        <f t="array" ref="I459">"Q"&amp;ROUNDUP(MONTH(A459)/3,0)</f>
        <v>Q2</v>
      </c>
      <c r="J459" t="s" s="57">
        <v>54</v>
      </c>
    </row>
    <row r="460" ht="13.55" customHeight="1">
      <c r="A460" s="51">
        <v>45763</v>
      </c>
      <c r="B460" t="s" s="52">
        <v>23</v>
      </c>
      <c r="C460" t="s" s="52">
        <v>78</v>
      </c>
      <c r="D460" t="s" s="52">
        <v>16</v>
      </c>
      <c r="E460" s="53">
        <v>7</v>
      </c>
      <c r="F460" s="54">
        <v>35009</v>
      </c>
      <c r="G460" s="54" cm="1">
        <f t="array" ref="G460">E460*F460</f>
        <v>245063</v>
      </c>
      <c r="H460" s="53" cm="1">
        <f t="array" ref="H460">YEAR(A460)</f>
        <v>2025</v>
      </c>
      <c r="I460" t="str" s="55" cm="1">
        <f t="array" ref="I460">"Q"&amp;ROUNDUP(MONTH(A460)/3,0)</f>
        <v>Q2</v>
      </c>
      <c r="J460" t="s" s="52">
        <v>54</v>
      </c>
    </row>
    <row r="461" ht="13.55" customHeight="1">
      <c r="A461" s="56">
        <v>45763</v>
      </c>
      <c r="B461" t="s" s="57">
        <v>21</v>
      </c>
      <c r="C461" t="s" s="57">
        <v>84</v>
      </c>
      <c r="D461" t="s" s="57">
        <v>16</v>
      </c>
      <c r="E461" s="58">
        <v>16</v>
      </c>
      <c r="F461" s="59">
        <v>25025</v>
      </c>
      <c r="G461" s="59" cm="1">
        <f t="array" ref="G461">E461*F461</f>
        <v>400400</v>
      </c>
      <c r="H461" s="58" cm="1">
        <f t="array" ref="H461">YEAR(A461)</f>
        <v>2025</v>
      </c>
      <c r="I461" t="str" s="60" cm="1">
        <f t="array" ref="I461">"Q"&amp;ROUNDUP(MONTH(A461)/3,0)</f>
        <v>Q2</v>
      </c>
      <c r="J461" t="s" s="57">
        <v>54</v>
      </c>
    </row>
    <row r="462" ht="13.55" customHeight="1">
      <c r="A462" s="51">
        <v>45764</v>
      </c>
      <c r="B462" t="s" s="52">
        <v>23</v>
      </c>
      <c r="C462" t="s" s="52">
        <v>80</v>
      </c>
      <c r="D462" t="s" s="52">
        <v>17</v>
      </c>
      <c r="E462" s="53">
        <v>19</v>
      </c>
      <c r="F462" s="54">
        <v>46003</v>
      </c>
      <c r="G462" s="54" cm="1">
        <f t="array" ref="G462">E462*F462</f>
        <v>874057</v>
      </c>
      <c r="H462" s="53" cm="1">
        <f t="array" ref="H462">YEAR(A462)</f>
        <v>2025</v>
      </c>
      <c r="I462" t="str" s="55" cm="1">
        <f t="array" ref="I462">"Q"&amp;ROUNDUP(MONTH(A462)/3,0)</f>
        <v>Q2</v>
      </c>
      <c r="J462" t="s" s="52">
        <v>54</v>
      </c>
    </row>
    <row r="463" ht="13.55" customHeight="1">
      <c r="A463" s="56">
        <v>45764</v>
      </c>
      <c r="B463" t="s" s="57">
        <v>21</v>
      </c>
      <c r="C463" t="s" s="57">
        <v>82</v>
      </c>
      <c r="D463" t="s" s="57">
        <v>16</v>
      </c>
      <c r="E463" s="58">
        <v>3</v>
      </c>
      <c r="F463" s="59">
        <v>70133</v>
      </c>
      <c r="G463" s="59" cm="1">
        <f t="array" ref="G463">E463*F463</f>
        <v>210399</v>
      </c>
      <c r="H463" s="58" cm="1">
        <f t="array" ref="H463">YEAR(A463)</f>
        <v>2025</v>
      </c>
      <c r="I463" t="str" s="60" cm="1">
        <f t="array" ref="I463">"Q"&amp;ROUNDUP(MONTH(A463)/3,0)</f>
        <v>Q2</v>
      </c>
      <c r="J463" t="s" s="57">
        <v>54</v>
      </c>
    </row>
    <row r="464" ht="13.55" customHeight="1">
      <c r="A464" s="51">
        <v>45764</v>
      </c>
      <c r="B464" t="s" s="52">
        <v>22</v>
      </c>
      <c r="C464" t="s" s="52">
        <v>83</v>
      </c>
      <c r="D464" t="s" s="52">
        <v>17</v>
      </c>
      <c r="E464" s="53">
        <v>3</v>
      </c>
      <c r="F464" s="54">
        <v>52221</v>
      </c>
      <c r="G464" s="54" cm="1">
        <f t="array" ref="G464">E464*F464</f>
        <v>156663</v>
      </c>
      <c r="H464" s="53" cm="1">
        <f t="array" ref="H464">YEAR(A464)</f>
        <v>2025</v>
      </c>
      <c r="I464" t="str" s="55" cm="1">
        <f t="array" ref="I464">"Q"&amp;ROUNDUP(MONTH(A464)/3,0)</f>
        <v>Q2</v>
      </c>
      <c r="J464" t="s" s="52">
        <v>54</v>
      </c>
    </row>
    <row r="465" ht="13.55" customHeight="1">
      <c r="A465" s="56">
        <v>45765</v>
      </c>
      <c r="B465" t="s" s="57">
        <v>22</v>
      </c>
      <c r="C465" t="s" s="57">
        <v>83</v>
      </c>
      <c r="D465" t="s" s="57">
        <v>17</v>
      </c>
      <c r="E465" s="58">
        <v>6</v>
      </c>
      <c r="F465" s="59">
        <v>64287</v>
      </c>
      <c r="G465" s="59" cm="1">
        <f t="array" ref="G465">E465*F465</f>
        <v>385722</v>
      </c>
      <c r="H465" s="58" cm="1">
        <f t="array" ref="H465">YEAR(A465)</f>
        <v>2025</v>
      </c>
      <c r="I465" t="str" s="60" cm="1">
        <f t="array" ref="I465">"Q"&amp;ROUNDUP(MONTH(A465)/3,0)</f>
        <v>Q2</v>
      </c>
      <c r="J465" t="s" s="57">
        <v>54</v>
      </c>
    </row>
    <row r="466" ht="13.55" customHeight="1">
      <c r="A466" s="51">
        <v>45765</v>
      </c>
      <c r="B466" t="s" s="52">
        <v>23</v>
      </c>
      <c r="C466" t="s" s="52">
        <v>84</v>
      </c>
      <c r="D466" t="s" s="52">
        <v>15</v>
      </c>
      <c r="E466" s="53">
        <v>4</v>
      </c>
      <c r="F466" s="54">
        <v>51151</v>
      </c>
      <c r="G466" s="54" cm="1">
        <f t="array" ref="G466">E466*F466</f>
        <v>204604</v>
      </c>
      <c r="H466" s="53" cm="1">
        <f t="array" ref="H466">YEAR(A466)</f>
        <v>2025</v>
      </c>
      <c r="I466" t="str" s="55" cm="1">
        <f t="array" ref="I466">"Q"&amp;ROUNDUP(MONTH(A466)/3,0)</f>
        <v>Q2</v>
      </c>
      <c r="J466" t="s" s="52">
        <v>54</v>
      </c>
    </row>
    <row r="467" ht="13.55" customHeight="1">
      <c r="A467" s="56">
        <v>45766</v>
      </c>
      <c r="B467" t="s" s="57">
        <v>22</v>
      </c>
      <c r="C467" t="s" s="57">
        <v>84</v>
      </c>
      <c r="D467" t="s" s="57">
        <v>18</v>
      </c>
      <c r="E467" s="58">
        <v>19</v>
      </c>
      <c r="F467" s="59">
        <v>46235</v>
      </c>
      <c r="G467" s="59" cm="1">
        <f t="array" ref="G467">E467*F467</f>
        <v>878465</v>
      </c>
      <c r="H467" s="58" cm="1">
        <f t="array" ref="H467">YEAR(A467)</f>
        <v>2025</v>
      </c>
      <c r="I467" t="str" s="60" cm="1">
        <f t="array" ref="I467">"Q"&amp;ROUNDUP(MONTH(A467)/3,0)</f>
        <v>Q2</v>
      </c>
      <c r="J467" t="s" s="57">
        <v>54</v>
      </c>
    </row>
    <row r="468" ht="13.55" customHeight="1">
      <c r="A468" s="51">
        <v>45766</v>
      </c>
      <c r="B468" t="s" s="52">
        <v>22</v>
      </c>
      <c r="C468" t="s" s="52">
        <v>81</v>
      </c>
      <c r="D468" t="s" s="52">
        <v>15</v>
      </c>
      <c r="E468" s="53">
        <v>14</v>
      </c>
      <c r="F468" s="54">
        <v>70303</v>
      </c>
      <c r="G468" s="54" cm="1">
        <f t="array" ref="G468">E468*F468</f>
        <v>984242</v>
      </c>
      <c r="H468" s="53" cm="1">
        <f t="array" ref="H468">YEAR(A468)</f>
        <v>2025</v>
      </c>
      <c r="I468" t="str" s="55" cm="1">
        <f t="array" ref="I468">"Q"&amp;ROUNDUP(MONTH(A468)/3,0)</f>
        <v>Q2</v>
      </c>
      <c r="J468" t="s" s="52">
        <v>54</v>
      </c>
    </row>
    <row r="469" ht="13.55" customHeight="1">
      <c r="A469" s="56">
        <v>45767</v>
      </c>
      <c r="B469" t="s" s="57">
        <v>20</v>
      </c>
      <c r="C469" t="s" s="57">
        <v>84</v>
      </c>
      <c r="D469" t="s" s="57">
        <v>18</v>
      </c>
      <c r="E469" s="58">
        <v>15</v>
      </c>
      <c r="F469" s="59">
        <v>6587</v>
      </c>
      <c r="G469" s="59" cm="1">
        <f t="array" ref="G469">E469*F469</f>
        <v>98805</v>
      </c>
      <c r="H469" s="58" cm="1">
        <f t="array" ref="H469">YEAR(A469)</f>
        <v>2025</v>
      </c>
      <c r="I469" t="str" s="60" cm="1">
        <f t="array" ref="I469">"Q"&amp;ROUNDUP(MONTH(A469)/3,0)</f>
        <v>Q2</v>
      </c>
      <c r="J469" t="s" s="57">
        <v>54</v>
      </c>
    </row>
    <row r="470" ht="13.55" customHeight="1">
      <c r="A470" s="51">
        <v>45767</v>
      </c>
      <c r="B470" t="s" s="52">
        <v>21</v>
      </c>
      <c r="C470" t="s" s="52">
        <v>82</v>
      </c>
      <c r="D470" t="s" s="52">
        <v>18</v>
      </c>
      <c r="E470" s="53">
        <v>14</v>
      </c>
      <c r="F470" s="54">
        <v>35949</v>
      </c>
      <c r="G470" s="54" cm="1">
        <f t="array" ref="G470">E470*F470</f>
        <v>503286</v>
      </c>
      <c r="H470" s="53" cm="1">
        <f t="array" ref="H470">YEAR(A470)</f>
        <v>2025</v>
      </c>
      <c r="I470" t="str" s="55" cm="1">
        <f t="array" ref="I470">"Q"&amp;ROUNDUP(MONTH(A470)/3,0)</f>
        <v>Q2</v>
      </c>
      <c r="J470" t="s" s="52">
        <v>54</v>
      </c>
    </row>
    <row r="471" ht="13.55" customHeight="1">
      <c r="A471" s="56">
        <v>45768</v>
      </c>
      <c r="B471" t="s" s="57">
        <v>21</v>
      </c>
      <c r="C471" t="s" s="57">
        <v>80</v>
      </c>
      <c r="D471" t="s" s="57">
        <v>18</v>
      </c>
      <c r="E471" s="58">
        <v>8</v>
      </c>
      <c r="F471" s="59">
        <v>9138</v>
      </c>
      <c r="G471" s="59" cm="1">
        <f t="array" ref="G471">E471*F471</f>
        <v>73104</v>
      </c>
      <c r="H471" s="58" cm="1">
        <f t="array" ref="H471">YEAR(A471)</f>
        <v>2025</v>
      </c>
      <c r="I471" t="str" s="60" cm="1">
        <f t="array" ref="I471">"Q"&amp;ROUNDUP(MONTH(A471)/3,0)</f>
        <v>Q2</v>
      </c>
      <c r="J471" t="s" s="57">
        <v>54</v>
      </c>
    </row>
    <row r="472" ht="13.55" customHeight="1">
      <c r="A472" s="51">
        <v>45768</v>
      </c>
      <c r="B472" t="s" s="52">
        <v>20</v>
      </c>
      <c r="C472" t="s" s="52">
        <v>84</v>
      </c>
      <c r="D472" t="s" s="52">
        <v>18</v>
      </c>
      <c r="E472" s="53">
        <v>17</v>
      </c>
      <c r="F472" s="54">
        <v>30380</v>
      </c>
      <c r="G472" s="54" cm="1">
        <f t="array" ref="G472">E472*F472</f>
        <v>516460</v>
      </c>
      <c r="H472" s="53" cm="1">
        <f t="array" ref="H472">YEAR(A472)</f>
        <v>2025</v>
      </c>
      <c r="I472" t="str" s="55" cm="1">
        <f t="array" ref="I472">"Q"&amp;ROUNDUP(MONTH(A472)/3,0)</f>
        <v>Q2</v>
      </c>
      <c r="J472" t="s" s="52">
        <v>54</v>
      </c>
    </row>
    <row r="473" ht="13.55" customHeight="1">
      <c r="A473" s="56">
        <v>45768</v>
      </c>
      <c r="B473" t="s" s="57">
        <v>23</v>
      </c>
      <c r="C473" t="s" s="57">
        <v>83</v>
      </c>
      <c r="D473" t="s" s="57">
        <v>16</v>
      </c>
      <c r="E473" s="58">
        <v>13</v>
      </c>
      <c r="F473" s="59">
        <v>38340</v>
      </c>
      <c r="G473" s="59" cm="1">
        <f t="array" ref="G473">E473*F473</f>
        <v>498420</v>
      </c>
      <c r="H473" s="58" cm="1">
        <f t="array" ref="H473">YEAR(A473)</f>
        <v>2025</v>
      </c>
      <c r="I473" t="str" s="60" cm="1">
        <f t="array" ref="I473">"Q"&amp;ROUNDUP(MONTH(A473)/3,0)</f>
        <v>Q2</v>
      </c>
      <c r="J473" t="s" s="57">
        <v>54</v>
      </c>
    </row>
    <row r="474" ht="13.55" customHeight="1">
      <c r="A474" s="51">
        <v>45772</v>
      </c>
      <c r="B474" t="s" s="52">
        <v>21</v>
      </c>
      <c r="C474" t="s" s="52">
        <v>84</v>
      </c>
      <c r="D474" t="s" s="52">
        <v>18</v>
      </c>
      <c r="E474" s="53">
        <v>9</v>
      </c>
      <c r="F474" s="54">
        <v>48469</v>
      </c>
      <c r="G474" s="54" cm="1">
        <f t="array" ref="G474">E474*F474</f>
        <v>436221</v>
      </c>
      <c r="H474" s="53" cm="1">
        <f t="array" ref="H474">YEAR(A474)</f>
        <v>2025</v>
      </c>
      <c r="I474" t="str" s="55" cm="1">
        <f t="array" ref="I474">"Q"&amp;ROUNDUP(MONTH(A474)/3,0)</f>
        <v>Q2</v>
      </c>
      <c r="J474" t="s" s="52">
        <v>54</v>
      </c>
    </row>
    <row r="475" ht="13.55" customHeight="1">
      <c r="A475" s="56">
        <v>45775</v>
      </c>
      <c r="B475" t="s" s="57">
        <v>20</v>
      </c>
      <c r="C475" t="s" s="57">
        <v>78</v>
      </c>
      <c r="D475" t="s" s="57">
        <v>16</v>
      </c>
      <c r="E475" s="58">
        <v>17</v>
      </c>
      <c r="F475" s="59">
        <v>54422</v>
      </c>
      <c r="G475" s="59" cm="1">
        <f t="array" ref="G475">E475*F475</f>
        <v>925174</v>
      </c>
      <c r="H475" s="58" cm="1">
        <f t="array" ref="H475">YEAR(A475)</f>
        <v>2025</v>
      </c>
      <c r="I475" t="str" s="60" cm="1">
        <f t="array" ref="I475">"Q"&amp;ROUNDUP(MONTH(A475)/3,0)</f>
        <v>Q2</v>
      </c>
      <c r="J475" t="s" s="57">
        <v>54</v>
      </c>
    </row>
    <row r="476" ht="13.55" customHeight="1">
      <c r="A476" s="51">
        <v>45776</v>
      </c>
      <c r="B476" t="s" s="52">
        <v>20</v>
      </c>
      <c r="C476" t="s" s="52">
        <v>82</v>
      </c>
      <c r="D476" t="s" s="52">
        <v>17</v>
      </c>
      <c r="E476" s="53">
        <v>8</v>
      </c>
      <c r="F476" s="54">
        <v>59330</v>
      </c>
      <c r="G476" s="54" cm="1">
        <f t="array" ref="G476">E476*F476</f>
        <v>474640</v>
      </c>
      <c r="H476" s="53" cm="1">
        <f t="array" ref="H476">YEAR(A476)</f>
        <v>2025</v>
      </c>
      <c r="I476" t="str" s="55" cm="1">
        <f t="array" ref="I476">"Q"&amp;ROUNDUP(MONTH(A476)/3,0)</f>
        <v>Q2</v>
      </c>
      <c r="J476" t="s" s="52">
        <v>54</v>
      </c>
    </row>
    <row r="477" ht="13.55" customHeight="1">
      <c r="A477" s="56">
        <v>45776</v>
      </c>
      <c r="B477" t="s" s="57">
        <v>22</v>
      </c>
      <c r="C477" t="s" s="57">
        <v>81</v>
      </c>
      <c r="D477" t="s" s="57">
        <v>15</v>
      </c>
      <c r="E477" s="58">
        <v>8</v>
      </c>
      <c r="F477" s="59">
        <v>71197</v>
      </c>
      <c r="G477" s="59" cm="1">
        <f t="array" ref="G477">E477*F477</f>
        <v>569576</v>
      </c>
      <c r="H477" s="58" cm="1">
        <f t="array" ref="H477">YEAR(A477)</f>
        <v>2025</v>
      </c>
      <c r="I477" t="str" s="60" cm="1">
        <f t="array" ref="I477">"Q"&amp;ROUNDUP(MONTH(A477)/3,0)</f>
        <v>Q2</v>
      </c>
      <c r="J477" t="s" s="57">
        <v>54</v>
      </c>
    </row>
    <row r="478" ht="13.55" customHeight="1">
      <c r="A478" s="51">
        <v>45779</v>
      </c>
      <c r="B478" t="s" s="52">
        <v>22</v>
      </c>
      <c r="C478" t="s" s="52">
        <v>83</v>
      </c>
      <c r="D478" t="s" s="52">
        <v>15</v>
      </c>
      <c r="E478" s="53">
        <v>2</v>
      </c>
      <c r="F478" s="54">
        <v>43862</v>
      </c>
      <c r="G478" s="54" cm="1">
        <f t="array" ref="G478">E478*F478</f>
        <v>87724</v>
      </c>
      <c r="H478" s="53" cm="1">
        <f t="array" ref="H478">YEAR(A478)</f>
        <v>2025</v>
      </c>
      <c r="I478" t="str" s="55" cm="1">
        <f t="array" ref="I478">"Q"&amp;ROUNDUP(MONTH(A478)/3,0)</f>
        <v>Q2</v>
      </c>
      <c r="J478" t="s" s="52">
        <v>55</v>
      </c>
    </row>
    <row r="479" ht="13.55" customHeight="1">
      <c r="A479" s="56">
        <v>45780</v>
      </c>
      <c r="B479" t="s" s="57">
        <v>22</v>
      </c>
      <c r="C479" t="s" s="57">
        <v>81</v>
      </c>
      <c r="D479" t="s" s="57">
        <v>16</v>
      </c>
      <c r="E479" s="58">
        <v>3</v>
      </c>
      <c r="F479" s="59">
        <v>69712</v>
      </c>
      <c r="G479" s="59" cm="1">
        <f t="array" ref="G479">E479*F479</f>
        <v>209136</v>
      </c>
      <c r="H479" s="58" cm="1">
        <f t="array" ref="H479">YEAR(A479)</f>
        <v>2025</v>
      </c>
      <c r="I479" t="str" s="60" cm="1">
        <f t="array" ref="I479">"Q"&amp;ROUNDUP(MONTH(A479)/3,0)</f>
        <v>Q2</v>
      </c>
      <c r="J479" t="s" s="57">
        <v>55</v>
      </c>
    </row>
    <row r="480" ht="13.55" customHeight="1">
      <c r="A480" s="51">
        <v>45781</v>
      </c>
      <c r="B480" t="s" s="52">
        <v>22</v>
      </c>
      <c r="C480" t="s" s="52">
        <v>81</v>
      </c>
      <c r="D480" t="s" s="52">
        <v>15</v>
      </c>
      <c r="E480" s="53">
        <v>7</v>
      </c>
      <c r="F480" s="54">
        <v>15751</v>
      </c>
      <c r="G480" s="54" cm="1">
        <f t="array" ref="G480">E480*F480</f>
        <v>110257</v>
      </c>
      <c r="H480" s="53" cm="1">
        <f t="array" ref="H480">YEAR(A480)</f>
        <v>2025</v>
      </c>
      <c r="I480" t="str" s="55" cm="1">
        <f t="array" ref="I480">"Q"&amp;ROUNDUP(MONTH(A480)/3,0)</f>
        <v>Q2</v>
      </c>
      <c r="J480" t="s" s="52">
        <v>55</v>
      </c>
    </row>
    <row r="481" ht="13.55" customHeight="1">
      <c r="A481" s="56">
        <v>45781</v>
      </c>
      <c r="B481" t="s" s="57">
        <v>22</v>
      </c>
      <c r="C481" t="s" s="57">
        <v>78</v>
      </c>
      <c r="D481" t="s" s="57">
        <v>17</v>
      </c>
      <c r="E481" s="58">
        <v>2</v>
      </c>
      <c r="F481" s="59">
        <v>79102</v>
      </c>
      <c r="G481" s="59" cm="1">
        <f t="array" ref="G481">E481*F481</f>
        <v>158204</v>
      </c>
      <c r="H481" s="58" cm="1">
        <f t="array" ref="H481">YEAR(A481)</f>
        <v>2025</v>
      </c>
      <c r="I481" t="str" s="60" cm="1">
        <f t="array" ref="I481">"Q"&amp;ROUNDUP(MONTH(A481)/3,0)</f>
        <v>Q2</v>
      </c>
      <c r="J481" t="s" s="57">
        <v>55</v>
      </c>
    </row>
    <row r="482" ht="13.55" customHeight="1">
      <c r="A482" s="51">
        <v>45783</v>
      </c>
      <c r="B482" t="s" s="52">
        <v>22</v>
      </c>
      <c r="C482" t="s" s="52">
        <v>78</v>
      </c>
      <c r="D482" t="s" s="52">
        <v>15</v>
      </c>
      <c r="E482" s="53">
        <v>18</v>
      </c>
      <c r="F482" s="54">
        <v>60312</v>
      </c>
      <c r="G482" s="54" cm="1">
        <f t="array" ref="G482">E482*F482</f>
        <v>1085616</v>
      </c>
      <c r="H482" s="53" cm="1">
        <f t="array" ref="H482">YEAR(A482)</f>
        <v>2025</v>
      </c>
      <c r="I482" t="str" s="55" cm="1">
        <f t="array" ref="I482">"Q"&amp;ROUNDUP(MONTH(A482)/3,0)</f>
        <v>Q2</v>
      </c>
      <c r="J482" t="s" s="52">
        <v>55</v>
      </c>
    </row>
    <row r="483" ht="13.55" customHeight="1">
      <c r="A483" s="56">
        <v>45783</v>
      </c>
      <c r="B483" t="s" s="57">
        <v>21</v>
      </c>
      <c r="C483" t="s" s="57">
        <v>78</v>
      </c>
      <c r="D483" t="s" s="57">
        <v>17</v>
      </c>
      <c r="E483" s="58">
        <v>19</v>
      </c>
      <c r="F483" s="59">
        <v>24309</v>
      </c>
      <c r="G483" s="59" cm="1">
        <f t="array" ref="G483">E483*F483</f>
        <v>461871</v>
      </c>
      <c r="H483" s="58" cm="1">
        <f t="array" ref="H483">YEAR(A483)</f>
        <v>2025</v>
      </c>
      <c r="I483" t="str" s="60" cm="1">
        <f t="array" ref="I483">"Q"&amp;ROUNDUP(MONTH(A483)/3,0)</f>
        <v>Q2</v>
      </c>
      <c r="J483" t="s" s="57">
        <v>55</v>
      </c>
    </row>
    <row r="484" ht="13.55" customHeight="1">
      <c r="A484" s="51">
        <v>45784</v>
      </c>
      <c r="B484" t="s" s="52">
        <v>22</v>
      </c>
      <c r="C484" t="s" s="52">
        <v>83</v>
      </c>
      <c r="D484" t="s" s="52">
        <v>17</v>
      </c>
      <c r="E484" s="53">
        <v>13</v>
      </c>
      <c r="F484" s="54">
        <v>59200</v>
      </c>
      <c r="G484" s="54" cm="1">
        <f t="array" ref="G484">E484*F484</f>
        <v>769600</v>
      </c>
      <c r="H484" s="53" cm="1">
        <f t="array" ref="H484">YEAR(A484)</f>
        <v>2025</v>
      </c>
      <c r="I484" t="str" s="55" cm="1">
        <f t="array" ref="I484">"Q"&amp;ROUNDUP(MONTH(A484)/3,0)</f>
        <v>Q2</v>
      </c>
      <c r="J484" t="s" s="52">
        <v>55</v>
      </c>
    </row>
    <row r="485" ht="13.55" customHeight="1">
      <c r="A485" s="56">
        <v>45784</v>
      </c>
      <c r="B485" t="s" s="57">
        <v>20</v>
      </c>
      <c r="C485" t="s" s="57">
        <v>80</v>
      </c>
      <c r="D485" t="s" s="57">
        <v>18</v>
      </c>
      <c r="E485" s="58">
        <v>12</v>
      </c>
      <c r="F485" s="59">
        <v>6014</v>
      </c>
      <c r="G485" s="59" cm="1">
        <f t="array" ref="G485">E485*F485</f>
        <v>72168</v>
      </c>
      <c r="H485" s="58" cm="1">
        <f t="array" ref="H485">YEAR(A485)</f>
        <v>2025</v>
      </c>
      <c r="I485" t="str" s="60" cm="1">
        <f t="array" ref="I485">"Q"&amp;ROUNDUP(MONTH(A485)/3,0)</f>
        <v>Q2</v>
      </c>
      <c r="J485" t="s" s="57">
        <v>55</v>
      </c>
    </row>
    <row r="486" ht="13.55" customHeight="1">
      <c r="A486" s="51">
        <v>45787</v>
      </c>
      <c r="B486" t="s" s="52">
        <v>21</v>
      </c>
      <c r="C486" t="s" s="52">
        <v>78</v>
      </c>
      <c r="D486" t="s" s="52">
        <v>18</v>
      </c>
      <c r="E486" s="53">
        <v>14</v>
      </c>
      <c r="F486" s="54">
        <v>15377</v>
      </c>
      <c r="G486" s="54" cm="1">
        <f t="array" ref="G486">E486*F486</f>
        <v>215278</v>
      </c>
      <c r="H486" s="53" cm="1">
        <f t="array" ref="H486">YEAR(A486)</f>
        <v>2025</v>
      </c>
      <c r="I486" t="str" s="55" cm="1">
        <f t="array" ref="I486">"Q"&amp;ROUNDUP(MONTH(A486)/3,0)</f>
        <v>Q2</v>
      </c>
      <c r="J486" t="s" s="52">
        <v>55</v>
      </c>
    </row>
    <row r="487" ht="13.55" customHeight="1">
      <c r="A487" s="56">
        <v>45788</v>
      </c>
      <c r="B487" t="s" s="57">
        <v>22</v>
      </c>
      <c r="C487" t="s" s="57">
        <v>81</v>
      </c>
      <c r="D487" t="s" s="57">
        <v>16</v>
      </c>
      <c r="E487" s="58">
        <v>7</v>
      </c>
      <c r="F487" s="59">
        <v>20916</v>
      </c>
      <c r="G487" s="59" cm="1">
        <f t="array" ref="G487">E487*F487</f>
        <v>146412</v>
      </c>
      <c r="H487" s="58" cm="1">
        <f t="array" ref="H487">YEAR(A487)</f>
        <v>2025</v>
      </c>
      <c r="I487" t="str" s="60" cm="1">
        <f t="array" ref="I487">"Q"&amp;ROUNDUP(MONTH(A487)/3,0)</f>
        <v>Q2</v>
      </c>
      <c r="J487" t="s" s="57">
        <v>55</v>
      </c>
    </row>
    <row r="488" ht="13.55" customHeight="1">
      <c r="A488" s="51">
        <v>45788</v>
      </c>
      <c r="B488" t="s" s="52">
        <v>23</v>
      </c>
      <c r="C488" t="s" s="52">
        <v>82</v>
      </c>
      <c r="D488" t="s" s="52">
        <v>16</v>
      </c>
      <c r="E488" s="53">
        <v>6</v>
      </c>
      <c r="F488" s="54">
        <v>40595</v>
      </c>
      <c r="G488" s="54" cm="1">
        <f t="array" ref="G488">E488*F488</f>
        <v>243570</v>
      </c>
      <c r="H488" s="53" cm="1">
        <f t="array" ref="H488">YEAR(A488)</f>
        <v>2025</v>
      </c>
      <c r="I488" t="str" s="55" cm="1">
        <f t="array" ref="I488">"Q"&amp;ROUNDUP(MONTH(A488)/3,0)</f>
        <v>Q2</v>
      </c>
      <c r="J488" t="s" s="52">
        <v>55</v>
      </c>
    </row>
    <row r="489" ht="13.55" customHeight="1">
      <c r="A489" s="56">
        <v>45788</v>
      </c>
      <c r="B489" t="s" s="57">
        <v>20</v>
      </c>
      <c r="C489" t="s" s="57">
        <v>81</v>
      </c>
      <c r="D489" t="s" s="57">
        <v>18</v>
      </c>
      <c r="E489" s="58">
        <v>15</v>
      </c>
      <c r="F489" s="59">
        <v>70048</v>
      </c>
      <c r="G489" s="59" cm="1">
        <f t="array" ref="G489">E489*F489</f>
        <v>1050720</v>
      </c>
      <c r="H489" s="58" cm="1">
        <f t="array" ref="H489">YEAR(A489)</f>
        <v>2025</v>
      </c>
      <c r="I489" t="str" s="60" cm="1">
        <f t="array" ref="I489">"Q"&amp;ROUNDUP(MONTH(A489)/3,0)</f>
        <v>Q2</v>
      </c>
      <c r="J489" t="s" s="57">
        <v>55</v>
      </c>
    </row>
    <row r="490" ht="13.55" customHeight="1">
      <c r="A490" s="51">
        <v>45790</v>
      </c>
      <c r="B490" t="s" s="52">
        <v>22</v>
      </c>
      <c r="C490" t="s" s="52">
        <v>80</v>
      </c>
      <c r="D490" t="s" s="52">
        <v>15</v>
      </c>
      <c r="E490" s="53">
        <v>5</v>
      </c>
      <c r="F490" s="54">
        <v>55799</v>
      </c>
      <c r="G490" s="54" cm="1">
        <f t="array" ref="G490">E490*F490</f>
        <v>278995</v>
      </c>
      <c r="H490" s="53" cm="1">
        <f t="array" ref="H490">YEAR(A490)</f>
        <v>2025</v>
      </c>
      <c r="I490" t="str" s="55" cm="1">
        <f t="array" ref="I490">"Q"&amp;ROUNDUP(MONTH(A490)/3,0)</f>
        <v>Q2</v>
      </c>
      <c r="J490" t="s" s="52">
        <v>55</v>
      </c>
    </row>
    <row r="491" ht="13.55" customHeight="1">
      <c r="A491" s="56">
        <v>45790</v>
      </c>
      <c r="B491" t="s" s="57">
        <v>23</v>
      </c>
      <c r="C491" t="s" s="57">
        <v>82</v>
      </c>
      <c r="D491" t="s" s="57">
        <v>18</v>
      </c>
      <c r="E491" s="58">
        <v>13</v>
      </c>
      <c r="F491" s="59">
        <v>75843</v>
      </c>
      <c r="G491" s="59" cm="1">
        <f t="array" ref="G491">E491*F491</f>
        <v>985959</v>
      </c>
      <c r="H491" s="58" cm="1">
        <f t="array" ref="H491">YEAR(A491)</f>
        <v>2025</v>
      </c>
      <c r="I491" t="str" s="60" cm="1">
        <f t="array" ref="I491">"Q"&amp;ROUNDUP(MONTH(A491)/3,0)</f>
        <v>Q2</v>
      </c>
      <c r="J491" t="s" s="57">
        <v>55</v>
      </c>
    </row>
    <row r="492" ht="13.55" customHeight="1">
      <c r="A492" s="51">
        <v>45791</v>
      </c>
      <c r="B492" t="s" s="52">
        <v>20</v>
      </c>
      <c r="C492" t="s" s="52">
        <v>82</v>
      </c>
      <c r="D492" t="s" s="52">
        <v>16</v>
      </c>
      <c r="E492" s="53">
        <v>5</v>
      </c>
      <c r="F492" s="54">
        <v>8783</v>
      </c>
      <c r="G492" s="54" cm="1">
        <f t="array" ref="G492">E492*F492</f>
        <v>43915</v>
      </c>
      <c r="H492" s="53" cm="1">
        <f t="array" ref="H492">YEAR(A492)</f>
        <v>2025</v>
      </c>
      <c r="I492" t="str" s="55" cm="1">
        <f t="array" ref="I492">"Q"&amp;ROUNDUP(MONTH(A492)/3,0)</f>
        <v>Q2</v>
      </c>
      <c r="J492" t="s" s="52">
        <v>55</v>
      </c>
    </row>
    <row r="493" ht="13.55" customHeight="1">
      <c r="A493" s="56">
        <v>45792</v>
      </c>
      <c r="B493" t="s" s="57">
        <v>21</v>
      </c>
      <c r="C493" t="s" s="57">
        <v>84</v>
      </c>
      <c r="D493" t="s" s="57">
        <v>18</v>
      </c>
      <c r="E493" s="58">
        <v>16</v>
      </c>
      <c r="F493" s="59">
        <v>68627</v>
      </c>
      <c r="G493" s="59" cm="1">
        <f t="array" ref="G493">E493*F493</f>
        <v>1098032</v>
      </c>
      <c r="H493" s="58" cm="1">
        <f t="array" ref="H493">YEAR(A493)</f>
        <v>2025</v>
      </c>
      <c r="I493" t="str" s="60" cm="1">
        <f t="array" ref="I493">"Q"&amp;ROUNDUP(MONTH(A493)/3,0)</f>
        <v>Q2</v>
      </c>
      <c r="J493" t="s" s="57">
        <v>55</v>
      </c>
    </row>
    <row r="494" ht="13.55" customHeight="1">
      <c r="A494" s="51">
        <v>45793</v>
      </c>
      <c r="B494" t="s" s="52">
        <v>23</v>
      </c>
      <c r="C494" t="s" s="52">
        <v>80</v>
      </c>
      <c r="D494" t="s" s="52">
        <v>16</v>
      </c>
      <c r="E494" s="53">
        <v>5</v>
      </c>
      <c r="F494" s="54">
        <v>50226</v>
      </c>
      <c r="G494" s="54" cm="1">
        <f t="array" ref="G494">E494*F494</f>
        <v>251130</v>
      </c>
      <c r="H494" s="53" cm="1">
        <f t="array" ref="H494">YEAR(A494)</f>
        <v>2025</v>
      </c>
      <c r="I494" t="str" s="55" cm="1">
        <f t="array" ref="I494">"Q"&amp;ROUNDUP(MONTH(A494)/3,0)</f>
        <v>Q2</v>
      </c>
      <c r="J494" t="s" s="52">
        <v>55</v>
      </c>
    </row>
    <row r="495" ht="13.55" customHeight="1">
      <c r="A495" s="56">
        <v>45794</v>
      </c>
      <c r="B495" t="s" s="57">
        <v>23</v>
      </c>
      <c r="C495" t="s" s="57">
        <v>81</v>
      </c>
      <c r="D495" t="s" s="57">
        <v>18</v>
      </c>
      <c r="E495" s="58">
        <v>7</v>
      </c>
      <c r="F495" s="59">
        <v>30398</v>
      </c>
      <c r="G495" s="59" cm="1">
        <f t="array" ref="G495">E495*F495</f>
        <v>212786</v>
      </c>
      <c r="H495" s="58" cm="1">
        <f t="array" ref="H495">YEAR(A495)</f>
        <v>2025</v>
      </c>
      <c r="I495" t="str" s="60" cm="1">
        <f t="array" ref="I495">"Q"&amp;ROUNDUP(MONTH(A495)/3,0)</f>
        <v>Q2</v>
      </c>
      <c r="J495" t="s" s="57">
        <v>55</v>
      </c>
    </row>
    <row r="496" ht="13.55" customHeight="1">
      <c r="A496" s="51">
        <v>45794</v>
      </c>
      <c r="B496" t="s" s="52">
        <v>20</v>
      </c>
      <c r="C496" t="s" s="52">
        <v>78</v>
      </c>
      <c r="D496" t="s" s="52">
        <v>18</v>
      </c>
      <c r="E496" s="53">
        <v>16</v>
      </c>
      <c r="F496" s="54">
        <v>40098</v>
      </c>
      <c r="G496" s="54" cm="1">
        <f t="array" ref="G496">E496*F496</f>
        <v>641568</v>
      </c>
      <c r="H496" s="53" cm="1">
        <f t="array" ref="H496">YEAR(A496)</f>
        <v>2025</v>
      </c>
      <c r="I496" t="str" s="55" cm="1">
        <f t="array" ref="I496">"Q"&amp;ROUNDUP(MONTH(A496)/3,0)</f>
        <v>Q2</v>
      </c>
      <c r="J496" t="s" s="52">
        <v>55</v>
      </c>
    </row>
    <row r="497" ht="13.55" customHeight="1">
      <c r="A497" s="56">
        <v>45795</v>
      </c>
      <c r="B497" t="s" s="57">
        <v>23</v>
      </c>
      <c r="C497" t="s" s="57">
        <v>83</v>
      </c>
      <c r="D497" t="s" s="57">
        <v>15</v>
      </c>
      <c r="E497" s="58">
        <v>10</v>
      </c>
      <c r="F497" s="59">
        <v>40959</v>
      </c>
      <c r="G497" s="59" cm="1">
        <f t="array" ref="G497">E497*F497</f>
        <v>409590</v>
      </c>
      <c r="H497" s="58" cm="1">
        <f t="array" ref="H497">YEAR(A497)</f>
        <v>2025</v>
      </c>
      <c r="I497" t="str" s="60" cm="1">
        <f t="array" ref="I497">"Q"&amp;ROUNDUP(MONTH(A497)/3,0)</f>
        <v>Q2</v>
      </c>
      <c r="J497" t="s" s="57">
        <v>55</v>
      </c>
    </row>
    <row r="498" ht="13.55" customHeight="1">
      <c r="A498" s="51">
        <v>45796</v>
      </c>
      <c r="B498" t="s" s="52">
        <v>23</v>
      </c>
      <c r="C498" t="s" s="52">
        <v>78</v>
      </c>
      <c r="D498" t="s" s="52">
        <v>18</v>
      </c>
      <c r="E498" s="53">
        <v>4</v>
      </c>
      <c r="F498" s="54">
        <v>67671</v>
      </c>
      <c r="G498" s="54" cm="1">
        <f t="array" ref="G498">E498*F498</f>
        <v>270684</v>
      </c>
      <c r="H498" s="53" cm="1">
        <f t="array" ref="H498">YEAR(A498)</f>
        <v>2025</v>
      </c>
      <c r="I498" t="str" s="55" cm="1">
        <f t="array" ref="I498">"Q"&amp;ROUNDUP(MONTH(A498)/3,0)</f>
        <v>Q2</v>
      </c>
      <c r="J498" t="s" s="52">
        <v>55</v>
      </c>
    </row>
    <row r="499" ht="13.55" customHeight="1">
      <c r="A499" s="56">
        <v>45796</v>
      </c>
      <c r="B499" t="s" s="57">
        <v>21</v>
      </c>
      <c r="C499" t="s" s="57">
        <v>78</v>
      </c>
      <c r="D499" t="s" s="57">
        <v>18</v>
      </c>
      <c r="E499" s="58">
        <v>6</v>
      </c>
      <c r="F499" s="59">
        <v>50800</v>
      </c>
      <c r="G499" s="59" cm="1">
        <f t="array" ref="G499">E499*F499</f>
        <v>304800</v>
      </c>
      <c r="H499" s="58" cm="1">
        <f t="array" ref="H499">YEAR(A499)</f>
        <v>2025</v>
      </c>
      <c r="I499" t="str" s="60" cm="1">
        <f t="array" ref="I499">"Q"&amp;ROUNDUP(MONTH(A499)/3,0)</f>
        <v>Q2</v>
      </c>
      <c r="J499" t="s" s="57">
        <v>55</v>
      </c>
    </row>
    <row r="500" ht="13.55" customHeight="1">
      <c r="A500" s="51">
        <v>45797</v>
      </c>
      <c r="B500" t="s" s="52">
        <v>22</v>
      </c>
      <c r="C500" t="s" s="52">
        <v>80</v>
      </c>
      <c r="D500" t="s" s="52">
        <v>15</v>
      </c>
      <c r="E500" s="53">
        <v>9</v>
      </c>
      <c r="F500" s="54">
        <v>52861</v>
      </c>
      <c r="G500" s="54" cm="1">
        <f t="array" ref="G500">E500*F500</f>
        <v>475749</v>
      </c>
      <c r="H500" s="53" cm="1">
        <f t="array" ref="H500">YEAR(A500)</f>
        <v>2025</v>
      </c>
      <c r="I500" t="str" s="55" cm="1">
        <f t="array" ref="I500">"Q"&amp;ROUNDUP(MONTH(A500)/3,0)</f>
        <v>Q2</v>
      </c>
      <c r="J500" t="s" s="52">
        <v>55</v>
      </c>
    </row>
    <row r="501" ht="13.55" customHeight="1">
      <c r="A501" s="56">
        <v>45797</v>
      </c>
      <c r="B501" t="s" s="57">
        <v>23</v>
      </c>
      <c r="C501" t="s" s="57">
        <v>84</v>
      </c>
      <c r="D501" t="s" s="57">
        <v>18</v>
      </c>
      <c r="E501" s="58">
        <v>19</v>
      </c>
      <c r="F501" s="59">
        <v>56539</v>
      </c>
      <c r="G501" s="59" cm="1">
        <f t="array" ref="G501">E501*F501</f>
        <v>1074241</v>
      </c>
      <c r="H501" s="58" cm="1">
        <f t="array" ref="H501">YEAR(A501)</f>
        <v>2025</v>
      </c>
      <c r="I501" t="str" s="60" cm="1">
        <f t="array" ref="I501">"Q"&amp;ROUNDUP(MONTH(A501)/3,0)</f>
        <v>Q2</v>
      </c>
      <c r="J501" t="s" s="57">
        <v>55</v>
      </c>
    </row>
    <row r="502" ht="13.55" customHeight="1">
      <c r="A502" s="51">
        <v>45797</v>
      </c>
      <c r="B502" t="s" s="52">
        <v>21</v>
      </c>
      <c r="C502" t="s" s="52">
        <v>80</v>
      </c>
      <c r="D502" t="s" s="52">
        <v>16</v>
      </c>
      <c r="E502" s="53">
        <v>2</v>
      </c>
      <c r="F502" s="54">
        <v>10698</v>
      </c>
      <c r="G502" s="54" cm="1">
        <f t="array" ref="G502">E502*F502</f>
        <v>21396</v>
      </c>
      <c r="H502" s="53" cm="1">
        <f t="array" ref="H502">YEAR(A502)</f>
        <v>2025</v>
      </c>
      <c r="I502" t="str" s="55" cm="1">
        <f t="array" ref="I502">"Q"&amp;ROUNDUP(MONTH(A502)/3,0)</f>
        <v>Q2</v>
      </c>
      <c r="J502" t="s" s="52">
        <v>55</v>
      </c>
    </row>
    <row r="503" ht="13.55" customHeight="1">
      <c r="A503" s="56">
        <v>45799</v>
      </c>
      <c r="B503" t="s" s="57">
        <v>20</v>
      </c>
      <c r="C503" t="s" s="57">
        <v>78</v>
      </c>
      <c r="D503" t="s" s="57">
        <v>18</v>
      </c>
      <c r="E503" s="58">
        <v>16</v>
      </c>
      <c r="F503" s="59">
        <v>44613</v>
      </c>
      <c r="G503" s="59" cm="1">
        <f t="array" ref="G503">E503*F503</f>
        <v>713808</v>
      </c>
      <c r="H503" s="58" cm="1">
        <f t="array" ref="H503">YEAR(A503)</f>
        <v>2025</v>
      </c>
      <c r="I503" t="str" s="60" cm="1">
        <f t="array" ref="I503">"Q"&amp;ROUNDUP(MONTH(A503)/3,0)</f>
        <v>Q2</v>
      </c>
      <c r="J503" t="s" s="57">
        <v>55</v>
      </c>
    </row>
    <row r="504" ht="13.55" customHeight="1">
      <c r="A504" s="51">
        <v>45800</v>
      </c>
      <c r="B504" t="s" s="52">
        <v>21</v>
      </c>
      <c r="C504" t="s" s="52">
        <v>78</v>
      </c>
      <c r="D504" t="s" s="52">
        <v>18</v>
      </c>
      <c r="E504" s="53">
        <v>11</v>
      </c>
      <c r="F504" s="54">
        <v>17905</v>
      </c>
      <c r="G504" s="54" cm="1">
        <f t="array" ref="G504">E504*F504</f>
        <v>196955</v>
      </c>
      <c r="H504" s="53" cm="1">
        <f t="array" ref="H504">YEAR(A504)</f>
        <v>2025</v>
      </c>
      <c r="I504" t="str" s="55" cm="1">
        <f t="array" ref="I504">"Q"&amp;ROUNDUP(MONTH(A504)/3,0)</f>
        <v>Q2</v>
      </c>
      <c r="J504" t="s" s="52">
        <v>55</v>
      </c>
    </row>
    <row r="505" ht="13.55" customHeight="1">
      <c r="A505" s="56">
        <v>45801</v>
      </c>
      <c r="B505" t="s" s="57">
        <v>23</v>
      </c>
      <c r="C505" t="s" s="57">
        <v>83</v>
      </c>
      <c r="D505" t="s" s="57">
        <v>18</v>
      </c>
      <c r="E505" s="58">
        <v>3</v>
      </c>
      <c r="F505" s="59">
        <v>41468</v>
      </c>
      <c r="G505" s="59" cm="1">
        <f t="array" ref="G505">E505*F505</f>
        <v>124404</v>
      </c>
      <c r="H505" s="58" cm="1">
        <f t="array" ref="H505">YEAR(A505)</f>
        <v>2025</v>
      </c>
      <c r="I505" t="str" s="60" cm="1">
        <f t="array" ref="I505">"Q"&amp;ROUNDUP(MONTH(A505)/3,0)</f>
        <v>Q2</v>
      </c>
      <c r="J505" t="s" s="57">
        <v>55</v>
      </c>
    </row>
    <row r="506" ht="13.55" customHeight="1">
      <c r="A506" s="51">
        <v>45801</v>
      </c>
      <c r="B506" t="s" s="52">
        <v>22</v>
      </c>
      <c r="C506" t="s" s="52">
        <v>82</v>
      </c>
      <c r="D506" t="s" s="52">
        <v>18</v>
      </c>
      <c r="E506" s="53">
        <v>13</v>
      </c>
      <c r="F506" s="54">
        <v>49948</v>
      </c>
      <c r="G506" s="54" cm="1">
        <f t="array" ref="G506">E506*F506</f>
        <v>649324</v>
      </c>
      <c r="H506" s="53" cm="1">
        <f t="array" ref="H506">YEAR(A506)</f>
        <v>2025</v>
      </c>
      <c r="I506" t="str" s="55" cm="1">
        <f t="array" ref="I506">"Q"&amp;ROUNDUP(MONTH(A506)/3,0)</f>
        <v>Q2</v>
      </c>
      <c r="J506" t="s" s="52">
        <v>55</v>
      </c>
    </row>
    <row r="507" ht="13.55" customHeight="1">
      <c r="A507" s="56">
        <v>45802</v>
      </c>
      <c r="B507" t="s" s="57">
        <v>23</v>
      </c>
      <c r="C507" t="s" s="57">
        <v>78</v>
      </c>
      <c r="D507" t="s" s="57">
        <v>17</v>
      </c>
      <c r="E507" s="58">
        <v>12</v>
      </c>
      <c r="F507" s="59">
        <v>5670</v>
      </c>
      <c r="G507" s="59" cm="1">
        <f t="array" ref="G507">E507*F507</f>
        <v>68040</v>
      </c>
      <c r="H507" s="58" cm="1">
        <f t="array" ref="H507">YEAR(A507)</f>
        <v>2025</v>
      </c>
      <c r="I507" t="str" s="60" cm="1">
        <f t="array" ref="I507">"Q"&amp;ROUNDUP(MONTH(A507)/3,0)</f>
        <v>Q2</v>
      </c>
      <c r="J507" t="s" s="57">
        <v>55</v>
      </c>
    </row>
    <row r="508" ht="13.55" customHeight="1">
      <c r="A508" s="51">
        <v>45802</v>
      </c>
      <c r="B508" t="s" s="52">
        <v>21</v>
      </c>
      <c r="C508" t="s" s="52">
        <v>80</v>
      </c>
      <c r="D508" t="s" s="52">
        <v>16</v>
      </c>
      <c r="E508" s="53">
        <v>3</v>
      </c>
      <c r="F508" s="54">
        <v>9298</v>
      </c>
      <c r="G508" s="54" cm="1">
        <f t="array" ref="G508">E508*F508</f>
        <v>27894</v>
      </c>
      <c r="H508" s="53" cm="1">
        <f t="array" ref="H508">YEAR(A508)</f>
        <v>2025</v>
      </c>
      <c r="I508" t="str" s="55" cm="1">
        <f t="array" ref="I508">"Q"&amp;ROUNDUP(MONTH(A508)/3,0)</f>
        <v>Q2</v>
      </c>
      <c r="J508" t="s" s="52">
        <v>55</v>
      </c>
    </row>
    <row r="509" ht="13.55" customHeight="1">
      <c r="A509" s="56">
        <v>45802</v>
      </c>
      <c r="B509" t="s" s="57">
        <v>20</v>
      </c>
      <c r="C509" t="s" s="57">
        <v>83</v>
      </c>
      <c r="D509" t="s" s="57">
        <v>17</v>
      </c>
      <c r="E509" s="58">
        <v>16</v>
      </c>
      <c r="F509" s="59">
        <v>65710</v>
      </c>
      <c r="G509" s="59" cm="1">
        <f t="array" ref="G509">E509*F509</f>
        <v>1051360</v>
      </c>
      <c r="H509" s="58" cm="1">
        <f t="array" ref="H509">YEAR(A509)</f>
        <v>2025</v>
      </c>
      <c r="I509" t="str" s="60" cm="1">
        <f t="array" ref="I509">"Q"&amp;ROUNDUP(MONTH(A509)/3,0)</f>
        <v>Q2</v>
      </c>
      <c r="J509" t="s" s="57">
        <v>55</v>
      </c>
    </row>
    <row r="510" ht="13.55" customHeight="1">
      <c r="A510" s="51">
        <v>45802</v>
      </c>
      <c r="B510" t="s" s="52">
        <v>22</v>
      </c>
      <c r="C510" t="s" s="52">
        <v>80</v>
      </c>
      <c r="D510" t="s" s="52">
        <v>16</v>
      </c>
      <c r="E510" s="53">
        <v>16</v>
      </c>
      <c r="F510" s="54">
        <v>38402</v>
      </c>
      <c r="G510" s="54" cm="1">
        <f t="array" ref="G510">E510*F510</f>
        <v>614432</v>
      </c>
      <c r="H510" s="53" cm="1">
        <f t="array" ref="H510">YEAR(A510)</f>
        <v>2025</v>
      </c>
      <c r="I510" t="str" s="55" cm="1">
        <f t="array" ref="I510">"Q"&amp;ROUNDUP(MONTH(A510)/3,0)</f>
        <v>Q2</v>
      </c>
      <c r="J510" t="s" s="52">
        <v>55</v>
      </c>
    </row>
    <row r="511" ht="13.55" customHeight="1">
      <c r="A511" s="56">
        <v>45803</v>
      </c>
      <c r="B511" t="s" s="57">
        <v>21</v>
      </c>
      <c r="C511" t="s" s="57">
        <v>83</v>
      </c>
      <c r="D511" t="s" s="57">
        <v>15</v>
      </c>
      <c r="E511" s="58">
        <v>19</v>
      </c>
      <c r="F511" s="59">
        <v>8327</v>
      </c>
      <c r="G511" s="59" cm="1">
        <f t="array" ref="G511">E511*F511</f>
        <v>158213</v>
      </c>
      <c r="H511" s="58" cm="1">
        <f t="array" ref="H511">YEAR(A511)</f>
        <v>2025</v>
      </c>
      <c r="I511" t="str" s="60" cm="1">
        <f t="array" ref="I511">"Q"&amp;ROUNDUP(MONTH(A511)/3,0)</f>
        <v>Q2</v>
      </c>
      <c r="J511" t="s" s="57">
        <v>55</v>
      </c>
    </row>
    <row r="512" ht="13.55" customHeight="1">
      <c r="A512" s="51">
        <v>45803</v>
      </c>
      <c r="B512" t="s" s="52">
        <v>22</v>
      </c>
      <c r="C512" t="s" s="52">
        <v>78</v>
      </c>
      <c r="D512" t="s" s="52">
        <v>15</v>
      </c>
      <c r="E512" s="53">
        <v>3</v>
      </c>
      <c r="F512" s="54">
        <v>76196</v>
      </c>
      <c r="G512" s="54" cm="1">
        <f t="array" ref="G512">E512*F512</f>
        <v>228588</v>
      </c>
      <c r="H512" s="53" cm="1">
        <f t="array" ref="H512">YEAR(A512)</f>
        <v>2025</v>
      </c>
      <c r="I512" t="str" s="55" cm="1">
        <f t="array" ref="I512">"Q"&amp;ROUNDUP(MONTH(A512)/3,0)</f>
        <v>Q2</v>
      </c>
      <c r="J512" t="s" s="52">
        <v>55</v>
      </c>
    </row>
    <row r="513" ht="13.55" customHeight="1">
      <c r="A513" s="56">
        <v>45804</v>
      </c>
      <c r="B513" t="s" s="57">
        <v>20</v>
      </c>
      <c r="C513" t="s" s="57">
        <v>78</v>
      </c>
      <c r="D513" t="s" s="57">
        <v>16</v>
      </c>
      <c r="E513" s="58">
        <v>9</v>
      </c>
      <c r="F513" s="59">
        <v>58822</v>
      </c>
      <c r="G513" s="59" cm="1">
        <f t="array" ref="G513">E513*F513</f>
        <v>529398</v>
      </c>
      <c r="H513" s="58" cm="1">
        <f t="array" ref="H513">YEAR(A513)</f>
        <v>2025</v>
      </c>
      <c r="I513" t="str" s="60" cm="1">
        <f t="array" ref="I513">"Q"&amp;ROUNDUP(MONTH(A513)/3,0)</f>
        <v>Q2</v>
      </c>
      <c r="J513" t="s" s="57">
        <v>55</v>
      </c>
    </row>
    <row r="514" ht="13.55" customHeight="1">
      <c r="A514" s="51">
        <v>45804</v>
      </c>
      <c r="B514" t="s" s="52">
        <v>22</v>
      </c>
      <c r="C514" t="s" s="52">
        <v>80</v>
      </c>
      <c r="D514" t="s" s="52">
        <v>18</v>
      </c>
      <c r="E514" s="53">
        <v>10</v>
      </c>
      <c r="F514" s="54">
        <v>46185</v>
      </c>
      <c r="G514" s="54" cm="1">
        <f t="array" ref="G514">E514*F514</f>
        <v>461850</v>
      </c>
      <c r="H514" s="53" cm="1">
        <f t="array" ref="H514">YEAR(A514)</f>
        <v>2025</v>
      </c>
      <c r="I514" t="str" s="55" cm="1">
        <f t="array" ref="I514">"Q"&amp;ROUNDUP(MONTH(A514)/3,0)</f>
        <v>Q2</v>
      </c>
      <c r="J514" t="s" s="52">
        <v>55</v>
      </c>
    </row>
    <row r="515" ht="13.55" customHeight="1">
      <c r="A515" s="56">
        <v>45807</v>
      </c>
      <c r="B515" t="s" s="57">
        <v>20</v>
      </c>
      <c r="C515" t="s" s="57">
        <v>84</v>
      </c>
      <c r="D515" t="s" s="57">
        <v>17</v>
      </c>
      <c r="E515" s="58">
        <v>6</v>
      </c>
      <c r="F515" s="59">
        <v>41607</v>
      </c>
      <c r="G515" s="59" cm="1">
        <f t="array" ref="G515">E515*F515</f>
        <v>249642</v>
      </c>
      <c r="H515" s="58" cm="1">
        <f t="array" ref="H515">YEAR(A515)</f>
        <v>2025</v>
      </c>
      <c r="I515" t="str" s="60" cm="1">
        <f t="array" ref="I515">"Q"&amp;ROUNDUP(MONTH(A515)/3,0)</f>
        <v>Q2</v>
      </c>
      <c r="J515" t="s" s="57">
        <v>55</v>
      </c>
    </row>
    <row r="516" ht="13.55" customHeight="1">
      <c r="A516" s="51">
        <v>45807</v>
      </c>
      <c r="B516" t="s" s="52">
        <v>20</v>
      </c>
      <c r="C516" t="s" s="52">
        <v>82</v>
      </c>
      <c r="D516" t="s" s="52">
        <v>16</v>
      </c>
      <c r="E516" s="53">
        <v>18</v>
      </c>
      <c r="F516" s="54">
        <v>34437</v>
      </c>
      <c r="G516" s="54" cm="1">
        <f t="array" ref="G516">E516*F516</f>
        <v>619866</v>
      </c>
      <c r="H516" s="53" cm="1">
        <f t="array" ref="H516">YEAR(A516)</f>
        <v>2025</v>
      </c>
      <c r="I516" t="str" s="55" cm="1">
        <f t="array" ref="I516">"Q"&amp;ROUNDUP(MONTH(A516)/3,0)</f>
        <v>Q2</v>
      </c>
      <c r="J516" t="s" s="52">
        <v>55</v>
      </c>
    </row>
    <row r="517" ht="13.55" customHeight="1">
      <c r="A517" s="56">
        <v>45808</v>
      </c>
      <c r="B517" t="s" s="57">
        <v>20</v>
      </c>
      <c r="C517" t="s" s="57">
        <v>81</v>
      </c>
      <c r="D517" t="s" s="57">
        <v>16</v>
      </c>
      <c r="E517" s="58">
        <v>9</v>
      </c>
      <c r="F517" s="59">
        <v>18026</v>
      </c>
      <c r="G517" s="59" cm="1">
        <f t="array" ref="G517">E517*F517</f>
        <v>162234</v>
      </c>
      <c r="H517" s="58" cm="1">
        <f t="array" ref="H517">YEAR(A517)</f>
        <v>2025</v>
      </c>
      <c r="I517" t="str" s="60" cm="1">
        <f t="array" ref="I517">"Q"&amp;ROUNDUP(MONTH(A517)/3,0)</f>
        <v>Q2</v>
      </c>
      <c r="J517" t="s" s="57">
        <v>55</v>
      </c>
    </row>
    <row r="518" ht="13.55" customHeight="1">
      <c r="A518" s="51">
        <v>45809</v>
      </c>
      <c r="B518" t="s" s="52">
        <v>22</v>
      </c>
      <c r="C518" t="s" s="52">
        <v>78</v>
      </c>
      <c r="D518" t="s" s="52">
        <v>15</v>
      </c>
      <c r="E518" s="53">
        <v>16</v>
      </c>
      <c r="F518" s="54">
        <v>16094</v>
      </c>
      <c r="G518" s="54" cm="1">
        <f t="array" ref="G518">E518*F518</f>
        <v>257504</v>
      </c>
      <c r="H518" s="53" cm="1">
        <f t="array" ref="H518">YEAR(A518)</f>
        <v>2025</v>
      </c>
      <c r="I518" t="str" s="55" cm="1">
        <f t="array" ref="I518">"Q"&amp;ROUNDUP(MONTH(A518)/3,0)</f>
        <v>Q2</v>
      </c>
      <c r="J518" t="s" s="52">
        <v>56</v>
      </c>
    </row>
    <row r="519" ht="13.55" customHeight="1">
      <c r="A519" s="56">
        <v>45810</v>
      </c>
      <c r="B519" t="s" s="57">
        <v>21</v>
      </c>
      <c r="C519" t="s" s="57">
        <v>84</v>
      </c>
      <c r="D519" t="s" s="57">
        <v>18</v>
      </c>
      <c r="E519" s="58">
        <v>7</v>
      </c>
      <c r="F519" s="59">
        <v>36508</v>
      </c>
      <c r="G519" s="59" cm="1">
        <f t="array" ref="G519">E519*F519</f>
        <v>255556</v>
      </c>
      <c r="H519" s="58" cm="1">
        <f t="array" ref="H519">YEAR(A519)</f>
        <v>2025</v>
      </c>
      <c r="I519" t="str" s="60" cm="1">
        <f t="array" ref="I519">"Q"&amp;ROUNDUP(MONTH(A519)/3,0)</f>
        <v>Q2</v>
      </c>
      <c r="J519" t="s" s="57">
        <v>56</v>
      </c>
    </row>
    <row r="520" ht="13.55" customHeight="1">
      <c r="A520" s="51">
        <v>45812</v>
      </c>
      <c r="B520" t="s" s="52">
        <v>21</v>
      </c>
      <c r="C520" t="s" s="52">
        <v>81</v>
      </c>
      <c r="D520" t="s" s="52">
        <v>17</v>
      </c>
      <c r="E520" s="53">
        <v>3</v>
      </c>
      <c r="F520" s="54">
        <v>48803</v>
      </c>
      <c r="G520" s="54" cm="1">
        <f t="array" ref="G520">E520*F520</f>
        <v>146409</v>
      </c>
      <c r="H520" s="53" cm="1">
        <f t="array" ref="H520">YEAR(A520)</f>
        <v>2025</v>
      </c>
      <c r="I520" t="str" s="55" cm="1">
        <f t="array" ref="I520">"Q"&amp;ROUNDUP(MONTH(A520)/3,0)</f>
        <v>Q2</v>
      </c>
      <c r="J520" t="s" s="52">
        <v>56</v>
      </c>
    </row>
    <row r="521" ht="13.55" customHeight="1">
      <c r="A521" s="56">
        <v>45813</v>
      </c>
      <c r="B521" t="s" s="57">
        <v>22</v>
      </c>
      <c r="C521" t="s" s="57">
        <v>82</v>
      </c>
      <c r="D521" t="s" s="57">
        <v>16</v>
      </c>
      <c r="E521" s="58">
        <v>13</v>
      </c>
      <c r="F521" s="59">
        <v>77391</v>
      </c>
      <c r="G521" s="59" cm="1">
        <f t="array" ref="G521">E521*F521</f>
        <v>1006083</v>
      </c>
      <c r="H521" s="58" cm="1">
        <f t="array" ref="H521">YEAR(A521)</f>
        <v>2025</v>
      </c>
      <c r="I521" t="str" s="60" cm="1">
        <f t="array" ref="I521">"Q"&amp;ROUNDUP(MONTH(A521)/3,0)</f>
        <v>Q2</v>
      </c>
      <c r="J521" t="s" s="57">
        <v>56</v>
      </c>
    </row>
    <row r="522" ht="13.55" customHeight="1">
      <c r="A522" s="51">
        <v>45816</v>
      </c>
      <c r="B522" t="s" s="52">
        <v>21</v>
      </c>
      <c r="C522" t="s" s="52">
        <v>84</v>
      </c>
      <c r="D522" t="s" s="52">
        <v>16</v>
      </c>
      <c r="E522" s="53">
        <v>13</v>
      </c>
      <c r="F522" s="54">
        <v>14221</v>
      </c>
      <c r="G522" s="54" cm="1">
        <f t="array" ref="G522">E522*F522</f>
        <v>184873</v>
      </c>
      <c r="H522" s="53" cm="1">
        <f t="array" ref="H522">YEAR(A522)</f>
        <v>2025</v>
      </c>
      <c r="I522" t="str" s="55" cm="1">
        <f t="array" ref="I522">"Q"&amp;ROUNDUP(MONTH(A522)/3,0)</f>
        <v>Q2</v>
      </c>
      <c r="J522" t="s" s="52">
        <v>56</v>
      </c>
    </row>
    <row r="523" ht="13.55" customHeight="1">
      <c r="A523" s="56">
        <v>45816</v>
      </c>
      <c r="B523" t="s" s="57">
        <v>22</v>
      </c>
      <c r="C523" t="s" s="57">
        <v>80</v>
      </c>
      <c r="D523" t="s" s="57">
        <v>15</v>
      </c>
      <c r="E523" s="58">
        <v>1</v>
      </c>
      <c r="F523" s="59">
        <v>10021</v>
      </c>
      <c r="G523" s="59" cm="1">
        <f t="array" ref="G523">E523*F523</f>
        <v>10021</v>
      </c>
      <c r="H523" s="58" cm="1">
        <f t="array" ref="H523">YEAR(A523)</f>
        <v>2025</v>
      </c>
      <c r="I523" t="str" s="60" cm="1">
        <f t="array" ref="I523">"Q"&amp;ROUNDUP(MONTH(A523)/3,0)</f>
        <v>Q2</v>
      </c>
      <c r="J523" t="s" s="57">
        <v>56</v>
      </c>
    </row>
    <row r="524" ht="13.55" customHeight="1">
      <c r="A524" s="51">
        <v>45816</v>
      </c>
      <c r="B524" t="s" s="52">
        <v>20</v>
      </c>
      <c r="C524" t="s" s="52">
        <v>80</v>
      </c>
      <c r="D524" t="s" s="52">
        <v>16</v>
      </c>
      <c r="E524" s="53">
        <v>2</v>
      </c>
      <c r="F524" s="54">
        <v>28199</v>
      </c>
      <c r="G524" s="54" cm="1">
        <f t="array" ref="G524">E524*F524</f>
        <v>56398</v>
      </c>
      <c r="H524" s="53" cm="1">
        <f t="array" ref="H524">YEAR(A524)</f>
        <v>2025</v>
      </c>
      <c r="I524" t="str" s="55" cm="1">
        <f t="array" ref="I524">"Q"&amp;ROUNDUP(MONTH(A524)/3,0)</f>
        <v>Q2</v>
      </c>
      <c r="J524" t="s" s="52">
        <v>56</v>
      </c>
    </row>
    <row r="525" ht="13.55" customHeight="1">
      <c r="A525" s="56">
        <v>45817</v>
      </c>
      <c r="B525" t="s" s="57">
        <v>21</v>
      </c>
      <c r="C525" t="s" s="57">
        <v>82</v>
      </c>
      <c r="D525" t="s" s="57">
        <v>17</v>
      </c>
      <c r="E525" s="58">
        <v>17</v>
      </c>
      <c r="F525" s="59">
        <v>34227</v>
      </c>
      <c r="G525" s="59" cm="1">
        <f t="array" ref="G525">E525*F525</f>
        <v>581859</v>
      </c>
      <c r="H525" s="58" cm="1">
        <f t="array" ref="H525">YEAR(A525)</f>
        <v>2025</v>
      </c>
      <c r="I525" t="str" s="60" cm="1">
        <f t="array" ref="I525">"Q"&amp;ROUNDUP(MONTH(A525)/3,0)</f>
        <v>Q2</v>
      </c>
      <c r="J525" t="s" s="57">
        <v>56</v>
      </c>
    </row>
    <row r="526" ht="13.55" customHeight="1">
      <c r="A526" s="51">
        <v>45822</v>
      </c>
      <c r="B526" t="s" s="52">
        <v>21</v>
      </c>
      <c r="C526" t="s" s="52">
        <v>84</v>
      </c>
      <c r="D526" t="s" s="52">
        <v>15</v>
      </c>
      <c r="E526" s="53">
        <v>7</v>
      </c>
      <c r="F526" s="54">
        <v>39393</v>
      </c>
      <c r="G526" s="54" cm="1">
        <f t="array" ref="G526">E526*F526</f>
        <v>275751</v>
      </c>
      <c r="H526" s="53" cm="1">
        <f t="array" ref="H526">YEAR(A526)</f>
        <v>2025</v>
      </c>
      <c r="I526" t="str" s="55" cm="1">
        <f t="array" ref="I526">"Q"&amp;ROUNDUP(MONTH(A526)/3,0)</f>
        <v>Q2</v>
      </c>
      <c r="J526" t="s" s="52">
        <v>56</v>
      </c>
    </row>
    <row r="527" ht="13.55" customHeight="1">
      <c r="A527" s="56">
        <v>45823</v>
      </c>
      <c r="B527" t="s" s="57">
        <v>22</v>
      </c>
      <c r="C527" t="s" s="57">
        <v>78</v>
      </c>
      <c r="D527" t="s" s="57">
        <v>17</v>
      </c>
      <c r="E527" s="58">
        <v>15</v>
      </c>
      <c r="F527" s="59">
        <v>34425</v>
      </c>
      <c r="G527" s="59" cm="1">
        <f t="array" ref="G527">E527*F527</f>
        <v>516375</v>
      </c>
      <c r="H527" s="58" cm="1">
        <f t="array" ref="H527">YEAR(A527)</f>
        <v>2025</v>
      </c>
      <c r="I527" t="str" s="60" cm="1">
        <f t="array" ref="I527">"Q"&amp;ROUNDUP(MONTH(A527)/3,0)</f>
        <v>Q2</v>
      </c>
      <c r="J527" t="s" s="57">
        <v>56</v>
      </c>
    </row>
    <row r="528" ht="13.55" customHeight="1">
      <c r="A528" s="51">
        <v>45829</v>
      </c>
      <c r="B528" t="s" s="52">
        <v>23</v>
      </c>
      <c r="C528" t="s" s="52">
        <v>80</v>
      </c>
      <c r="D528" t="s" s="52">
        <v>16</v>
      </c>
      <c r="E528" s="53">
        <v>9</v>
      </c>
      <c r="F528" s="54">
        <v>28989</v>
      </c>
      <c r="G528" s="54" cm="1">
        <f t="array" ref="G528">E528*F528</f>
        <v>260901</v>
      </c>
      <c r="H528" s="53" cm="1">
        <f t="array" ref="H528">YEAR(A528)</f>
        <v>2025</v>
      </c>
      <c r="I528" t="str" s="55" cm="1">
        <f t="array" ref="I528">"Q"&amp;ROUNDUP(MONTH(A528)/3,0)</f>
        <v>Q2</v>
      </c>
      <c r="J528" t="s" s="52">
        <v>56</v>
      </c>
    </row>
    <row r="529" ht="13.55" customHeight="1">
      <c r="A529" s="56">
        <v>45831</v>
      </c>
      <c r="B529" t="s" s="57">
        <v>20</v>
      </c>
      <c r="C529" t="s" s="57">
        <v>82</v>
      </c>
      <c r="D529" t="s" s="57">
        <v>16</v>
      </c>
      <c r="E529" s="58">
        <v>19</v>
      </c>
      <c r="F529" s="59">
        <v>67653</v>
      </c>
      <c r="G529" s="59" cm="1">
        <f t="array" ref="G529">E529*F529</f>
        <v>1285407</v>
      </c>
      <c r="H529" s="58" cm="1">
        <f t="array" ref="H529">YEAR(A529)</f>
        <v>2025</v>
      </c>
      <c r="I529" t="str" s="60" cm="1">
        <f t="array" ref="I529">"Q"&amp;ROUNDUP(MONTH(A529)/3,0)</f>
        <v>Q2</v>
      </c>
      <c r="J529" t="s" s="57">
        <v>56</v>
      </c>
    </row>
    <row r="530" ht="13.55" customHeight="1">
      <c r="A530" s="51">
        <v>45832</v>
      </c>
      <c r="B530" t="s" s="52">
        <v>20</v>
      </c>
      <c r="C530" t="s" s="52">
        <v>80</v>
      </c>
      <c r="D530" t="s" s="52">
        <v>16</v>
      </c>
      <c r="E530" s="53">
        <v>9</v>
      </c>
      <c r="F530" s="54">
        <v>64848</v>
      </c>
      <c r="G530" s="54" cm="1">
        <f t="array" ref="G530">E530*F530</f>
        <v>583632</v>
      </c>
      <c r="H530" s="53" cm="1">
        <f t="array" ref="H530">YEAR(A530)</f>
        <v>2025</v>
      </c>
      <c r="I530" t="str" s="55" cm="1">
        <f t="array" ref="I530">"Q"&amp;ROUNDUP(MONTH(A530)/3,0)</f>
        <v>Q2</v>
      </c>
      <c r="J530" t="s" s="52">
        <v>56</v>
      </c>
    </row>
    <row r="531" ht="13.55" customHeight="1">
      <c r="A531" s="56">
        <v>45836</v>
      </c>
      <c r="B531" t="s" s="57">
        <v>21</v>
      </c>
      <c r="C531" t="s" s="57">
        <v>82</v>
      </c>
      <c r="D531" t="s" s="57">
        <v>18</v>
      </c>
      <c r="E531" s="58">
        <v>11</v>
      </c>
      <c r="F531" s="59">
        <v>21279</v>
      </c>
      <c r="G531" s="59" cm="1">
        <f t="array" ref="G531">E531*F531</f>
        <v>234069</v>
      </c>
      <c r="H531" s="58" cm="1">
        <f t="array" ref="H531">YEAR(A531)</f>
        <v>2025</v>
      </c>
      <c r="I531" t="str" s="60" cm="1">
        <f t="array" ref="I531">"Q"&amp;ROUNDUP(MONTH(A531)/3,0)</f>
        <v>Q2</v>
      </c>
      <c r="J531" t="s" s="57">
        <v>56</v>
      </c>
    </row>
    <row r="532" ht="13.55" customHeight="1">
      <c r="A532" s="51">
        <v>45838</v>
      </c>
      <c r="B532" t="s" s="52">
        <v>20</v>
      </c>
      <c r="C532" t="s" s="52">
        <v>83</v>
      </c>
      <c r="D532" t="s" s="52">
        <v>17</v>
      </c>
      <c r="E532" s="53">
        <v>11</v>
      </c>
      <c r="F532" s="54">
        <v>28993</v>
      </c>
      <c r="G532" s="54" cm="1">
        <f t="array" ref="G532">E532*F532</f>
        <v>318923</v>
      </c>
      <c r="H532" s="53" cm="1">
        <f t="array" ref="H532">YEAR(A532)</f>
        <v>2025</v>
      </c>
      <c r="I532" t="str" s="55" cm="1">
        <f t="array" ref="I532">"Q"&amp;ROUNDUP(MONTH(A532)/3,0)</f>
        <v>Q2</v>
      </c>
      <c r="J532" t="s" s="52">
        <v>56</v>
      </c>
    </row>
    <row r="533" ht="13.55" customHeight="1">
      <c r="A533" s="56">
        <v>45838</v>
      </c>
      <c r="B533" t="s" s="57">
        <v>23</v>
      </c>
      <c r="C533" t="s" s="57">
        <v>83</v>
      </c>
      <c r="D533" t="s" s="57">
        <v>15</v>
      </c>
      <c r="E533" s="58">
        <v>4</v>
      </c>
      <c r="F533" s="59">
        <v>24229</v>
      </c>
      <c r="G533" s="59" cm="1">
        <f t="array" ref="G533">E533*F533</f>
        <v>96916</v>
      </c>
      <c r="H533" s="58" cm="1">
        <f t="array" ref="H533">YEAR(A533)</f>
        <v>2025</v>
      </c>
      <c r="I533" t="str" s="60" cm="1">
        <f t="array" ref="I533">"Q"&amp;ROUNDUP(MONTH(A533)/3,0)</f>
        <v>Q2</v>
      </c>
      <c r="J533" t="s" s="57">
        <v>56</v>
      </c>
    </row>
    <row r="534" ht="13.55" customHeight="1">
      <c r="A534" s="51">
        <v>45838</v>
      </c>
      <c r="B534" t="s" s="52">
        <v>20</v>
      </c>
      <c r="C534" t="s" s="52">
        <v>84</v>
      </c>
      <c r="D534" t="s" s="52">
        <v>15</v>
      </c>
      <c r="E534" s="53">
        <v>13</v>
      </c>
      <c r="F534" s="54">
        <v>23452</v>
      </c>
      <c r="G534" s="54" cm="1">
        <f t="array" ref="G534">E534*F534</f>
        <v>304876</v>
      </c>
      <c r="H534" s="53" cm="1">
        <f t="array" ref="H534">YEAR(A534)</f>
        <v>2025</v>
      </c>
      <c r="I534" t="str" s="55" cm="1">
        <f t="array" ref="I534">"Q"&amp;ROUNDUP(MONTH(A534)/3,0)</f>
        <v>Q2</v>
      </c>
      <c r="J534" t="s" s="52">
        <v>56</v>
      </c>
    </row>
    <row r="535" ht="13.55" customHeight="1">
      <c r="A535" s="56">
        <v>45839</v>
      </c>
      <c r="B535" t="s" s="57">
        <v>23</v>
      </c>
      <c r="C535" t="s" s="57">
        <v>83</v>
      </c>
      <c r="D535" t="s" s="57">
        <v>17</v>
      </c>
      <c r="E535" s="58">
        <v>6</v>
      </c>
      <c r="F535" s="59">
        <v>70727</v>
      </c>
      <c r="G535" s="59" cm="1">
        <f t="array" ref="G535">E535*F535</f>
        <v>424362</v>
      </c>
      <c r="H535" s="58" cm="1">
        <f t="array" ref="H535">YEAR(A535)</f>
        <v>2025</v>
      </c>
      <c r="I535" t="str" s="60" cm="1">
        <f t="array" ref="I535">"Q"&amp;ROUNDUP(MONTH(A535)/3,0)</f>
        <v>Q3</v>
      </c>
      <c r="J535" t="s" s="57">
        <v>57</v>
      </c>
    </row>
    <row r="536" ht="13.55" customHeight="1">
      <c r="A536" s="51">
        <v>45842</v>
      </c>
      <c r="B536" t="s" s="52">
        <v>22</v>
      </c>
      <c r="C536" t="s" s="52">
        <v>84</v>
      </c>
      <c r="D536" t="s" s="52">
        <v>15</v>
      </c>
      <c r="E536" s="53">
        <v>11</v>
      </c>
      <c r="F536" s="54">
        <v>37172</v>
      </c>
      <c r="G536" s="54" cm="1">
        <f t="array" ref="G536">E536*F536</f>
        <v>408892</v>
      </c>
      <c r="H536" s="53" cm="1">
        <f t="array" ref="H536">YEAR(A536)</f>
        <v>2025</v>
      </c>
      <c r="I536" t="str" s="55" cm="1">
        <f t="array" ref="I536">"Q"&amp;ROUNDUP(MONTH(A536)/3,0)</f>
        <v>Q3</v>
      </c>
      <c r="J536" t="s" s="52">
        <v>57</v>
      </c>
    </row>
    <row r="537" ht="13.55" customHeight="1">
      <c r="A537" s="56">
        <v>45842</v>
      </c>
      <c r="B537" t="s" s="57">
        <v>23</v>
      </c>
      <c r="C537" t="s" s="57">
        <v>83</v>
      </c>
      <c r="D537" t="s" s="57">
        <v>16</v>
      </c>
      <c r="E537" s="58">
        <v>4</v>
      </c>
      <c r="F537" s="59">
        <v>8262</v>
      </c>
      <c r="G537" s="59" cm="1">
        <f t="array" ref="G537">E537*F537</f>
        <v>33048</v>
      </c>
      <c r="H537" s="58" cm="1">
        <f t="array" ref="H537">YEAR(A537)</f>
        <v>2025</v>
      </c>
      <c r="I537" t="str" s="60" cm="1">
        <f t="array" ref="I537">"Q"&amp;ROUNDUP(MONTH(A537)/3,0)</f>
        <v>Q3</v>
      </c>
      <c r="J537" t="s" s="57">
        <v>57</v>
      </c>
    </row>
    <row r="538" ht="13.55" customHeight="1">
      <c r="A538" s="51">
        <v>45845</v>
      </c>
      <c r="B538" t="s" s="52">
        <v>20</v>
      </c>
      <c r="C538" t="s" s="52">
        <v>80</v>
      </c>
      <c r="D538" t="s" s="52">
        <v>15</v>
      </c>
      <c r="E538" s="53">
        <v>17</v>
      </c>
      <c r="F538" s="54">
        <v>7591</v>
      </c>
      <c r="G538" s="54" cm="1">
        <f t="array" ref="G538">E538*F538</f>
        <v>129047</v>
      </c>
      <c r="H538" s="53" cm="1">
        <f t="array" ref="H538">YEAR(A538)</f>
        <v>2025</v>
      </c>
      <c r="I538" t="str" s="55" cm="1">
        <f t="array" ref="I538">"Q"&amp;ROUNDUP(MONTH(A538)/3,0)</f>
        <v>Q3</v>
      </c>
      <c r="J538" t="s" s="52">
        <v>57</v>
      </c>
    </row>
    <row r="539" ht="13.55" customHeight="1">
      <c r="A539" s="56">
        <v>45847</v>
      </c>
      <c r="B539" t="s" s="57">
        <v>20</v>
      </c>
      <c r="C539" t="s" s="57">
        <v>82</v>
      </c>
      <c r="D539" t="s" s="57">
        <v>16</v>
      </c>
      <c r="E539" s="58">
        <v>6</v>
      </c>
      <c r="F539" s="59">
        <v>46458</v>
      </c>
      <c r="G539" s="59" cm="1">
        <f t="array" ref="G539">E539*F539</f>
        <v>278748</v>
      </c>
      <c r="H539" s="58" cm="1">
        <f t="array" ref="H539">YEAR(A539)</f>
        <v>2025</v>
      </c>
      <c r="I539" t="str" s="60" cm="1">
        <f t="array" ref="I539">"Q"&amp;ROUNDUP(MONTH(A539)/3,0)</f>
        <v>Q3</v>
      </c>
      <c r="J539" t="s" s="57">
        <v>57</v>
      </c>
    </row>
    <row r="540" ht="13.55" customHeight="1">
      <c r="A540" s="51">
        <v>45847</v>
      </c>
      <c r="B540" t="s" s="52">
        <v>21</v>
      </c>
      <c r="C540" t="s" s="52">
        <v>81</v>
      </c>
      <c r="D540" t="s" s="52">
        <v>17</v>
      </c>
      <c r="E540" s="53">
        <v>9</v>
      </c>
      <c r="F540" s="54">
        <v>44519</v>
      </c>
      <c r="G540" s="54" cm="1">
        <f t="array" ref="G540">E540*F540</f>
        <v>400671</v>
      </c>
      <c r="H540" s="53" cm="1">
        <f t="array" ref="H540">YEAR(A540)</f>
        <v>2025</v>
      </c>
      <c r="I540" t="str" s="55" cm="1">
        <f t="array" ref="I540">"Q"&amp;ROUNDUP(MONTH(A540)/3,0)</f>
        <v>Q3</v>
      </c>
      <c r="J540" t="s" s="52">
        <v>57</v>
      </c>
    </row>
    <row r="541" ht="13.55" customHeight="1">
      <c r="A541" s="56">
        <v>45847</v>
      </c>
      <c r="B541" t="s" s="57">
        <v>21</v>
      </c>
      <c r="C541" t="s" s="57">
        <v>82</v>
      </c>
      <c r="D541" t="s" s="57">
        <v>17</v>
      </c>
      <c r="E541" s="58">
        <v>12</v>
      </c>
      <c r="F541" s="59">
        <v>15278</v>
      </c>
      <c r="G541" s="59" cm="1">
        <f t="array" ref="G541">E541*F541</f>
        <v>183336</v>
      </c>
      <c r="H541" s="58" cm="1">
        <f t="array" ref="H541">YEAR(A541)</f>
        <v>2025</v>
      </c>
      <c r="I541" t="str" s="60" cm="1">
        <f t="array" ref="I541">"Q"&amp;ROUNDUP(MONTH(A541)/3,0)</f>
        <v>Q3</v>
      </c>
      <c r="J541" t="s" s="57">
        <v>57</v>
      </c>
    </row>
    <row r="542" ht="13.55" customHeight="1">
      <c r="A542" s="51">
        <v>45847</v>
      </c>
      <c r="B542" t="s" s="52">
        <v>23</v>
      </c>
      <c r="C542" t="s" s="52">
        <v>83</v>
      </c>
      <c r="D542" t="s" s="52">
        <v>17</v>
      </c>
      <c r="E542" s="53">
        <v>11</v>
      </c>
      <c r="F542" s="54">
        <v>57732</v>
      </c>
      <c r="G542" s="54" cm="1">
        <f t="array" ref="G542">E542*F542</f>
        <v>635052</v>
      </c>
      <c r="H542" s="53" cm="1">
        <f t="array" ref="H542">YEAR(A542)</f>
        <v>2025</v>
      </c>
      <c r="I542" t="str" s="55" cm="1">
        <f t="array" ref="I542">"Q"&amp;ROUNDUP(MONTH(A542)/3,0)</f>
        <v>Q3</v>
      </c>
      <c r="J542" t="s" s="52">
        <v>57</v>
      </c>
    </row>
    <row r="543" ht="13.55" customHeight="1">
      <c r="A543" s="56">
        <v>45848</v>
      </c>
      <c r="B543" t="s" s="57">
        <v>21</v>
      </c>
      <c r="C543" t="s" s="57">
        <v>83</v>
      </c>
      <c r="D543" t="s" s="57">
        <v>15</v>
      </c>
      <c r="E543" s="58">
        <v>18</v>
      </c>
      <c r="F543" s="59">
        <v>49049</v>
      </c>
      <c r="G543" s="59" cm="1">
        <f t="array" ref="G543">E543*F543</f>
        <v>882882</v>
      </c>
      <c r="H543" s="58" cm="1">
        <f t="array" ref="H543">YEAR(A543)</f>
        <v>2025</v>
      </c>
      <c r="I543" t="str" s="60" cm="1">
        <f t="array" ref="I543">"Q"&amp;ROUNDUP(MONTH(A543)/3,0)</f>
        <v>Q3</v>
      </c>
      <c r="J543" t="s" s="57">
        <v>57</v>
      </c>
    </row>
    <row r="544" ht="13.55" customHeight="1">
      <c r="A544" s="51">
        <v>45849</v>
      </c>
      <c r="B544" t="s" s="52">
        <v>21</v>
      </c>
      <c r="C544" t="s" s="52">
        <v>78</v>
      </c>
      <c r="D544" t="s" s="52">
        <v>16</v>
      </c>
      <c r="E544" s="53">
        <v>10</v>
      </c>
      <c r="F544" s="54">
        <v>58218</v>
      </c>
      <c r="G544" s="54" cm="1">
        <f t="array" ref="G544">E544*F544</f>
        <v>582180</v>
      </c>
      <c r="H544" s="53" cm="1">
        <f t="array" ref="H544">YEAR(A544)</f>
        <v>2025</v>
      </c>
      <c r="I544" t="str" s="55" cm="1">
        <f t="array" ref="I544">"Q"&amp;ROUNDUP(MONTH(A544)/3,0)</f>
        <v>Q3</v>
      </c>
      <c r="J544" t="s" s="52">
        <v>57</v>
      </c>
    </row>
    <row r="545" ht="13.55" customHeight="1">
      <c r="A545" s="56">
        <v>45851</v>
      </c>
      <c r="B545" t="s" s="57">
        <v>21</v>
      </c>
      <c r="C545" t="s" s="57">
        <v>82</v>
      </c>
      <c r="D545" t="s" s="57">
        <v>17</v>
      </c>
      <c r="E545" s="58">
        <v>5</v>
      </c>
      <c r="F545" s="59">
        <v>78616</v>
      </c>
      <c r="G545" s="59" cm="1">
        <f t="array" ref="G545">E545*F545</f>
        <v>393080</v>
      </c>
      <c r="H545" s="58" cm="1">
        <f t="array" ref="H545">YEAR(A545)</f>
        <v>2025</v>
      </c>
      <c r="I545" t="str" s="60" cm="1">
        <f t="array" ref="I545">"Q"&amp;ROUNDUP(MONTH(A545)/3,0)</f>
        <v>Q3</v>
      </c>
      <c r="J545" t="s" s="57">
        <v>57</v>
      </c>
    </row>
    <row r="546" ht="13.55" customHeight="1">
      <c r="A546" s="51">
        <v>45852</v>
      </c>
      <c r="B546" t="s" s="52">
        <v>20</v>
      </c>
      <c r="C546" t="s" s="52">
        <v>83</v>
      </c>
      <c r="D546" t="s" s="52">
        <v>16</v>
      </c>
      <c r="E546" s="53">
        <v>8</v>
      </c>
      <c r="F546" s="54">
        <v>76291</v>
      </c>
      <c r="G546" s="54" cm="1">
        <f t="array" ref="G546">E546*F546</f>
        <v>610328</v>
      </c>
      <c r="H546" s="53" cm="1">
        <f t="array" ref="H546">YEAR(A546)</f>
        <v>2025</v>
      </c>
      <c r="I546" t="str" s="55" cm="1">
        <f t="array" ref="I546">"Q"&amp;ROUNDUP(MONTH(A546)/3,0)</f>
        <v>Q3</v>
      </c>
      <c r="J546" t="s" s="52">
        <v>57</v>
      </c>
    </row>
    <row r="547" ht="13.55" customHeight="1">
      <c r="A547" s="56">
        <v>45853</v>
      </c>
      <c r="B547" t="s" s="57">
        <v>22</v>
      </c>
      <c r="C547" t="s" s="57">
        <v>82</v>
      </c>
      <c r="D547" t="s" s="57">
        <v>15</v>
      </c>
      <c r="E547" s="58">
        <v>12</v>
      </c>
      <c r="F547" s="59">
        <v>12674</v>
      </c>
      <c r="G547" s="59" cm="1">
        <f t="array" ref="G547">E547*F547</f>
        <v>152088</v>
      </c>
      <c r="H547" s="58" cm="1">
        <f t="array" ref="H547">YEAR(A547)</f>
        <v>2025</v>
      </c>
      <c r="I547" t="str" s="60" cm="1">
        <f t="array" ref="I547">"Q"&amp;ROUNDUP(MONTH(A547)/3,0)</f>
        <v>Q3</v>
      </c>
      <c r="J547" t="s" s="57">
        <v>57</v>
      </c>
    </row>
    <row r="548" ht="13.55" customHeight="1">
      <c r="A548" s="51">
        <v>45854</v>
      </c>
      <c r="B548" t="s" s="52">
        <v>20</v>
      </c>
      <c r="C548" t="s" s="52">
        <v>80</v>
      </c>
      <c r="D548" t="s" s="52">
        <v>16</v>
      </c>
      <c r="E548" s="53">
        <v>14</v>
      </c>
      <c r="F548" s="54">
        <v>24233</v>
      </c>
      <c r="G548" s="54" cm="1">
        <f t="array" ref="G548">E548*F548</f>
        <v>339262</v>
      </c>
      <c r="H548" s="53" cm="1">
        <f t="array" ref="H548">YEAR(A548)</f>
        <v>2025</v>
      </c>
      <c r="I548" t="str" s="55" cm="1">
        <f t="array" ref="I548">"Q"&amp;ROUNDUP(MONTH(A548)/3,0)</f>
        <v>Q3</v>
      </c>
      <c r="J548" t="s" s="52">
        <v>57</v>
      </c>
    </row>
    <row r="549" ht="13.55" customHeight="1">
      <c r="A549" s="56">
        <v>45854</v>
      </c>
      <c r="B549" t="s" s="57">
        <v>20</v>
      </c>
      <c r="C549" t="s" s="57">
        <v>78</v>
      </c>
      <c r="D549" t="s" s="57">
        <v>18</v>
      </c>
      <c r="E549" s="58">
        <v>15</v>
      </c>
      <c r="F549" s="59">
        <v>51754</v>
      </c>
      <c r="G549" s="59" cm="1">
        <f t="array" ref="G549">E549*F549</f>
        <v>776310</v>
      </c>
      <c r="H549" s="58" cm="1">
        <f t="array" ref="H549">YEAR(A549)</f>
        <v>2025</v>
      </c>
      <c r="I549" t="str" s="60" cm="1">
        <f t="array" ref="I549">"Q"&amp;ROUNDUP(MONTH(A549)/3,0)</f>
        <v>Q3</v>
      </c>
      <c r="J549" t="s" s="57">
        <v>57</v>
      </c>
    </row>
    <row r="550" ht="13.55" customHeight="1">
      <c r="A550" s="51">
        <v>45855</v>
      </c>
      <c r="B550" t="s" s="52">
        <v>21</v>
      </c>
      <c r="C550" t="s" s="52">
        <v>83</v>
      </c>
      <c r="D550" t="s" s="52">
        <v>18</v>
      </c>
      <c r="E550" s="53">
        <v>10</v>
      </c>
      <c r="F550" s="54">
        <v>37130</v>
      </c>
      <c r="G550" s="54" cm="1">
        <f t="array" ref="G550">E550*F550</f>
        <v>371300</v>
      </c>
      <c r="H550" s="53" cm="1">
        <f t="array" ref="H550">YEAR(A550)</f>
        <v>2025</v>
      </c>
      <c r="I550" t="str" s="55" cm="1">
        <f t="array" ref="I550">"Q"&amp;ROUNDUP(MONTH(A550)/3,0)</f>
        <v>Q3</v>
      </c>
      <c r="J550" t="s" s="52">
        <v>57</v>
      </c>
    </row>
    <row r="551" ht="13.55" customHeight="1">
      <c r="A551" s="56">
        <v>45855</v>
      </c>
      <c r="B551" t="s" s="57">
        <v>22</v>
      </c>
      <c r="C551" t="s" s="57">
        <v>81</v>
      </c>
      <c r="D551" t="s" s="57">
        <v>17</v>
      </c>
      <c r="E551" s="58">
        <v>18</v>
      </c>
      <c r="F551" s="59">
        <v>5136</v>
      </c>
      <c r="G551" s="59" cm="1">
        <f t="array" ref="G551">E551*F551</f>
        <v>92448</v>
      </c>
      <c r="H551" s="58" cm="1">
        <f t="array" ref="H551">YEAR(A551)</f>
        <v>2025</v>
      </c>
      <c r="I551" t="str" s="60" cm="1">
        <f t="array" ref="I551">"Q"&amp;ROUNDUP(MONTH(A551)/3,0)</f>
        <v>Q3</v>
      </c>
      <c r="J551" t="s" s="57">
        <v>57</v>
      </c>
    </row>
    <row r="552" ht="13.55" customHeight="1">
      <c r="A552" s="51">
        <v>45855</v>
      </c>
      <c r="B552" t="s" s="52">
        <v>21</v>
      </c>
      <c r="C552" t="s" s="52">
        <v>78</v>
      </c>
      <c r="D552" t="s" s="52">
        <v>15</v>
      </c>
      <c r="E552" s="53">
        <v>4</v>
      </c>
      <c r="F552" s="54">
        <v>48919</v>
      </c>
      <c r="G552" s="54" cm="1">
        <f t="array" ref="G552">E552*F552</f>
        <v>195676</v>
      </c>
      <c r="H552" s="53" cm="1">
        <f t="array" ref="H552">YEAR(A552)</f>
        <v>2025</v>
      </c>
      <c r="I552" t="str" s="55" cm="1">
        <f t="array" ref="I552">"Q"&amp;ROUNDUP(MONTH(A552)/3,0)</f>
        <v>Q3</v>
      </c>
      <c r="J552" t="s" s="52">
        <v>57</v>
      </c>
    </row>
    <row r="553" ht="13.55" customHeight="1">
      <c r="A553" s="56">
        <v>45856</v>
      </c>
      <c r="B553" t="s" s="57">
        <v>21</v>
      </c>
      <c r="C553" t="s" s="57">
        <v>80</v>
      </c>
      <c r="D553" t="s" s="57">
        <v>15</v>
      </c>
      <c r="E553" s="58">
        <v>18</v>
      </c>
      <c r="F553" s="59">
        <v>66899</v>
      </c>
      <c r="G553" s="59" cm="1">
        <f t="array" ref="G553">E553*F553</f>
        <v>1204182</v>
      </c>
      <c r="H553" s="58" cm="1">
        <f t="array" ref="H553">YEAR(A553)</f>
        <v>2025</v>
      </c>
      <c r="I553" t="str" s="60" cm="1">
        <f t="array" ref="I553">"Q"&amp;ROUNDUP(MONTH(A553)/3,0)</f>
        <v>Q3</v>
      </c>
      <c r="J553" t="s" s="57">
        <v>57</v>
      </c>
    </row>
    <row r="554" ht="13.55" customHeight="1">
      <c r="A554" s="51">
        <v>45856</v>
      </c>
      <c r="B554" t="s" s="52">
        <v>22</v>
      </c>
      <c r="C554" t="s" s="52">
        <v>81</v>
      </c>
      <c r="D554" t="s" s="52">
        <v>18</v>
      </c>
      <c r="E554" s="53">
        <v>9</v>
      </c>
      <c r="F554" s="54">
        <v>60276</v>
      </c>
      <c r="G554" s="54" cm="1">
        <f t="array" ref="G554">E554*F554</f>
        <v>542484</v>
      </c>
      <c r="H554" s="53" cm="1">
        <f t="array" ref="H554">YEAR(A554)</f>
        <v>2025</v>
      </c>
      <c r="I554" t="str" s="55" cm="1">
        <f t="array" ref="I554">"Q"&amp;ROUNDUP(MONTH(A554)/3,0)</f>
        <v>Q3</v>
      </c>
      <c r="J554" t="s" s="52">
        <v>57</v>
      </c>
    </row>
    <row r="555" ht="13.55" customHeight="1">
      <c r="A555" s="56">
        <v>45857</v>
      </c>
      <c r="B555" t="s" s="57">
        <v>20</v>
      </c>
      <c r="C555" t="s" s="57">
        <v>78</v>
      </c>
      <c r="D555" t="s" s="57">
        <v>17</v>
      </c>
      <c r="E555" s="58">
        <v>6</v>
      </c>
      <c r="F555" s="59">
        <v>20086</v>
      </c>
      <c r="G555" s="59" cm="1">
        <f t="array" ref="G555">E555*F555</f>
        <v>120516</v>
      </c>
      <c r="H555" s="58" cm="1">
        <f t="array" ref="H555">YEAR(A555)</f>
        <v>2025</v>
      </c>
      <c r="I555" t="str" s="60" cm="1">
        <f t="array" ref="I555">"Q"&amp;ROUNDUP(MONTH(A555)/3,0)</f>
        <v>Q3</v>
      </c>
      <c r="J555" t="s" s="57">
        <v>57</v>
      </c>
    </row>
    <row r="556" ht="13.55" customHeight="1">
      <c r="A556" s="51">
        <v>45857</v>
      </c>
      <c r="B556" t="s" s="52">
        <v>21</v>
      </c>
      <c r="C556" t="s" s="52">
        <v>78</v>
      </c>
      <c r="D556" t="s" s="52">
        <v>15</v>
      </c>
      <c r="E556" s="53">
        <v>3</v>
      </c>
      <c r="F556" s="54">
        <v>73498</v>
      </c>
      <c r="G556" s="54" cm="1">
        <f t="array" ref="G556">E556*F556</f>
        <v>220494</v>
      </c>
      <c r="H556" s="53" cm="1">
        <f t="array" ref="H556">YEAR(A556)</f>
        <v>2025</v>
      </c>
      <c r="I556" t="str" s="55" cm="1">
        <f t="array" ref="I556">"Q"&amp;ROUNDUP(MONTH(A556)/3,0)</f>
        <v>Q3</v>
      </c>
      <c r="J556" t="s" s="52">
        <v>57</v>
      </c>
    </row>
    <row r="557" ht="13.55" customHeight="1">
      <c r="A557" s="56">
        <v>45857</v>
      </c>
      <c r="B557" t="s" s="57">
        <v>23</v>
      </c>
      <c r="C557" t="s" s="57">
        <v>82</v>
      </c>
      <c r="D557" t="s" s="57">
        <v>15</v>
      </c>
      <c r="E557" s="58">
        <v>4</v>
      </c>
      <c r="F557" s="59">
        <v>77309</v>
      </c>
      <c r="G557" s="59" cm="1">
        <f t="array" ref="G557">E557*F557</f>
        <v>309236</v>
      </c>
      <c r="H557" s="58" cm="1">
        <f t="array" ref="H557">YEAR(A557)</f>
        <v>2025</v>
      </c>
      <c r="I557" t="str" s="60" cm="1">
        <f t="array" ref="I557">"Q"&amp;ROUNDUP(MONTH(A557)/3,0)</f>
        <v>Q3</v>
      </c>
      <c r="J557" t="s" s="57">
        <v>57</v>
      </c>
    </row>
    <row r="558" ht="13.55" customHeight="1">
      <c r="A558" s="51">
        <v>45857</v>
      </c>
      <c r="B558" t="s" s="52">
        <v>22</v>
      </c>
      <c r="C558" t="s" s="52">
        <v>83</v>
      </c>
      <c r="D558" t="s" s="52">
        <v>15</v>
      </c>
      <c r="E558" s="53">
        <v>10</v>
      </c>
      <c r="F558" s="54">
        <v>5917</v>
      </c>
      <c r="G558" s="54" cm="1">
        <f t="array" ref="G558">E558*F558</f>
        <v>59170</v>
      </c>
      <c r="H558" s="53" cm="1">
        <f t="array" ref="H558">YEAR(A558)</f>
        <v>2025</v>
      </c>
      <c r="I558" t="str" s="55" cm="1">
        <f t="array" ref="I558">"Q"&amp;ROUNDUP(MONTH(A558)/3,0)</f>
        <v>Q3</v>
      </c>
      <c r="J558" t="s" s="52">
        <v>57</v>
      </c>
    </row>
    <row r="559" ht="13.55" customHeight="1">
      <c r="A559" s="56">
        <v>45858</v>
      </c>
      <c r="B559" t="s" s="57">
        <v>20</v>
      </c>
      <c r="C559" t="s" s="57">
        <v>84</v>
      </c>
      <c r="D559" t="s" s="57">
        <v>15</v>
      </c>
      <c r="E559" s="58">
        <v>19</v>
      </c>
      <c r="F559" s="59">
        <v>6306</v>
      </c>
      <c r="G559" s="59" cm="1">
        <f t="array" ref="G559">E559*F559</f>
        <v>119814</v>
      </c>
      <c r="H559" s="58" cm="1">
        <f t="array" ref="H559">YEAR(A559)</f>
        <v>2025</v>
      </c>
      <c r="I559" t="str" s="60" cm="1">
        <f t="array" ref="I559">"Q"&amp;ROUNDUP(MONTH(A559)/3,0)</f>
        <v>Q3</v>
      </c>
      <c r="J559" t="s" s="57">
        <v>57</v>
      </c>
    </row>
    <row r="560" ht="13.55" customHeight="1">
      <c r="A560" s="51">
        <v>45860</v>
      </c>
      <c r="B560" t="s" s="52">
        <v>22</v>
      </c>
      <c r="C560" t="s" s="52">
        <v>80</v>
      </c>
      <c r="D560" t="s" s="52">
        <v>17</v>
      </c>
      <c r="E560" s="53">
        <v>4</v>
      </c>
      <c r="F560" s="54">
        <v>37299</v>
      </c>
      <c r="G560" s="54" cm="1">
        <f t="array" ref="G560">E560*F560</f>
        <v>149196</v>
      </c>
      <c r="H560" s="53" cm="1">
        <f t="array" ref="H560">YEAR(A560)</f>
        <v>2025</v>
      </c>
      <c r="I560" t="str" s="55" cm="1">
        <f t="array" ref="I560">"Q"&amp;ROUNDUP(MONTH(A560)/3,0)</f>
        <v>Q3</v>
      </c>
      <c r="J560" t="s" s="52">
        <v>57</v>
      </c>
    </row>
    <row r="561" ht="13.55" customHeight="1">
      <c r="A561" s="56">
        <v>45861</v>
      </c>
      <c r="B561" t="s" s="57">
        <v>22</v>
      </c>
      <c r="C561" t="s" s="57">
        <v>80</v>
      </c>
      <c r="D561" t="s" s="57">
        <v>16</v>
      </c>
      <c r="E561" s="58">
        <v>9</v>
      </c>
      <c r="F561" s="59">
        <v>30338</v>
      </c>
      <c r="G561" s="59" cm="1">
        <f t="array" ref="G561">E561*F561</f>
        <v>273042</v>
      </c>
      <c r="H561" s="58" cm="1">
        <f t="array" ref="H561">YEAR(A561)</f>
        <v>2025</v>
      </c>
      <c r="I561" t="str" s="60" cm="1">
        <f t="array" ref="I561">"Q"&amp;ROUNDUP(MONTH(A561)/3,0)</f>
        <v>Q3</v>
      </c>
      <c r="J561" t="s" s="57">
        <v>57</v>
      </c>
    </row>
    <row r="562" ht="13.55" customHeight="1">
      <c r="A562" s="51">
        <v>45861</v>
      </c>
      <c r="B562" t="s" s="52">
        <v>20</v>
      </c>
      <c r="C562" t="s" s="52">
        <v>80</v>
      </c>
      <c r="D562" t="s" s="52">
        <v>17</v>
      </c>
      <c r="E562" s="53">
        <v>4</v>
      </c>
      <c r="F562" s="54">
        <v>69575</v>
      </c>
      <c r="G562" s="54" cm="1">
        <f t="array" ref="G562">E562*F562</f>
        <v>278300</v>
      </c>
      <c r="H562" s="53" cm="1">
        <f t="array" ref="H562">YEAR(A562)</f>
        <v>2025</v>
      </c>
      <c r="I562" t="str" s="55" cm="1">
        <f t="array" ref="I562">"Q"&amp;ROUNDUP(MONTH(A562)/3,0)</f>
        <v>Q3</v>
      </c>
      <c r="J562" t="s" s="52">
        <v>57</v>
      </c>
    </row>
    <row r="563" ht="13.55" customHeight="1">
      <c r="A563" s="56">
        <v>45863</v>
      </c>
      <c r="B563" t="s" s="57">
        <v>21</v>
      </c>
      <c r="C563" t="s" s="57">
        <v>78</v>
      </c>
      <c r="D563" t="s" s="57">
        <v>18</v>
      </c>
      <c r="E563" s="58">
        <v>15</v>
      </c>
      <c r="F563" s="59">
        <v>64049</v>
      </c>
      <c r="G563" s="59" cm="1">
        <f t="array" ref="G563">E563*F563</f>
        <v>960735</v>
      </c>
      <c r="H563" s="58" cm="1">
        <f t="array" ref="H563">YEAR(A563)</f>
        <v>2025</v>
      </c>
      <c r="I563" t="str" s="60" cm="1">
        <f t="array" ref="I563">"Q"&amp;ROUNDUP(MONTH(A563)/3,0)</f>
        <v>Q3</v>
      </c>
      <c r="J563" t="s" s="57">
        <v>57</v>
      </c>
    </row>
    <row r="564" ht="13.55" customHeight="1">
      <c r="A564" s="51">
        <v>45863</v>
      </c>
      <c r="B564" t="s" s="52">
        <v>23</v>
      </c>
      <c r="C564" t="s" s="52">
        <v>83</v>
      </c>
      <c r="D564" t="s" s="52">
        <v>15</v>
      </c>
      <c r="E564" s="53">
        <v>16</v>
      </c>
      <c r="F564" s="54">
        <v>30479</v>
      </c>
      <c r="G564" s="54" cm="1">
        <f t="array" ref="G564">E564*F564</f>
        <v>487664</v>
      </c>
      <c r="H564" s="53" cm="1">
        <f t="array" ref="H564">YEAR(A564)</f>
        <v>2025</v>
      </c>
      <c r="I564" t="str" s="55" cm="1">
        <f t="array" ref="I564">"Q"&amp;ROUNDUP(MONTH(A564)/3,0)</f>
        <v>Q3</v>
      </c>
      <c r="J564" t="s" s="52">
        <v>57</v>
      </c>
    </row>
    <row r="565" ht="13.55" customHeight="1">
      <c r="A565" s="56">
        <v>45865</v>
      </c>
      <c r="B565" t="s" s="57">
        <v>21</v>
      </c>
      <c r="C565" t="s" s="57">
        <v>81</v>
      </c>
      <c r="D565" t="s" s="57">
        <v>15</v>
      </c>
      <c r="E565" s="58">
        <v>19</v>
      </c>
      <c r="F565" s="59">
        <v>18917</v>
      </c>
      <c r="G565" s="59" cm="1">
        <f t="array" ref="G565">E565*F565</f>
        <v>359423</v>
      </c>
      <c r="H565" s="58" cm="1">
        <f t="array" ref="H565">YEAR(A565)</f>
        <v>2025</v>
      </c>
      <c r="I565" t="str" s="60" cm="1">
        <f t="array" ref="I565">"Q"&amp;ROUNDUP(MONTH(A565)/3,0)</f>
        <v>Q3</v>
      </c>
      <c r="J565" t="s" s="57">
        <v>57</v>
      </c>
    </row>
    <row r="566" ht="13.55" customHeight="1">
      <c r="A566" s="51">
        <v>45865</v>
      </c>
      <c r="B566" t="s" s="52">
        <v>22</v>
      </c>
      <c r="C566" t="s" s="52">
        <v>81</v>
      </c>
      <c r="D566" t="s" s="52">
        <v>17</v>
      </c>
      <c r="E566" s="53">
        <v>7</v>
      </c>
      <c r="F566" s="54">
        <v>18261</v>
      </c>
      <c r="G566" s="54" cm="1">
        <f t="array" ref="G566">E566*F566</f>
        <v>127827</v>
      </c>
      <c r="H566" s="53" cm="1">
        <f t="array" ref="H566">YEAR(A566)</f>
        <v>2025</v>
      </c>
      <c r="I566" t="str" s="55" cm="1">
        <f t="array" ref="I566">"Q"&amp;ROUNDUP(MONTH(A566)/3,0)</f>
        <v>Q3</v>
      </c>
      <c r="J566" t="s" s="52">
        <v>57</v>
      </c>
    </row>
    <row r="567" ht="13.55" customHeight="1">
      <c r="A567" s="56">
        <v>45866</v>
      </c>
      <c r="B567" t="s" s="57">
        <v>20</v>
      </c>
      <c r="C567" t="s" s="57">
        <v>83</v>
      </c>
      <c r="D567" t="s" s="57">
        <v>15</v>
      </c>
      <c r="E567" s="58">
        <v>2</v>
      </c>
      <c r="F567" s="59">
        <v>66753</v>
      </c>
      <c r="G567" s="59" cm="1">
        <f t="array" ref="G567">E567*F567</f>
        <v>133506</v>
      </c>
      <c r="H567" s="58" cm="1">
        <f t="array" ref="H567">YEAR(A567)</f>
        <v>2025</v>
      </c>
      <c r="I567" t="str" s="60" cm="1">
        <f t="array" ref="I567">"Q"&amp;ROUNDUP(MONTH(A567)/3,0)</f>
        <v>Q3</v>
      </c>
      <c r="J567" t="s" s="57">
        <v>57</v>
      </c>
    </row>
    <row r="568" ht="13.55" customHeight="1">
      <c r="A568" s="51">
        <v>45866</v>
      </c>
      <c r="B568" t="s" s="52">
        <v>20</v>
      </c>
      <c r="C568" t="s" s="52">
        <v>81</v>
      </c>
      <c r="D568" t="s" s="52">
        <v>17</v>
      </c>
      <c r="E568" s="53">
        <v>12</v>
      </c>
      <c r="F568" s="54">
        <v>77489</v>
      </c>
      <c r="G568" s="54" cm="1">
        <f t="array" ref="G568">E568*F568</f>
        <v>929868</v>
      </c>
      <c r="H568" s="53" cm="1">
        <f t="array" ref="H568">YEAR(A568)</f>
        <v>2025</v>
      </c>
      <c r="I568" t="str" s="55" cm="1">
        <f t="array" ref="I568">"Q"&amp;ROUNDUP(MONTH(A568)/3,0)</f>
        <v>Q3</v>
      </c>
      <c r="J568" t="s" s="52">
        <v>57</v>
      </c>
    </row>
    <row r="569" ht="13.55" customHeight="1">
      <c r="A569" s="56">
        <v>45868</v>
      </c>
      <c r="B569" t="s" s="57">
        <v>20</v>
      </c>
      <c r="C569" t="s" s="57">
        <v>80</v>
      </c>
      <c r="D569" t="s" s="57">
        <v>15</v>
      </c>
      <c r="E569" s="58">
        <v>14</v>
      </c>
      <c r="F569" s="59">
        <v>57495</v>
      </c>
      <c r="G569" s="59" cm="1">
        <f t="array" ref="G569">E569*F569</f>
        <v>804930</v>
      </c>
      <c r="H569" s="58" cm="1">
        <f t="array" ref="H569">YEAR(A569)</f>
        <v>2025</v>
      </c>
      <c r="I569" t="str" s="60" cm="1">
        <f t="array" ref="I569">"Q"&amp;ROUNDUP(MONTH(A569)/3,0)</f>
        <v>Q3</v>
      </c>
      <c r="J569" t="s" s="57">
        <v>57</v>
      </c>
    </row>
    <row r="570" ht="13.55" customHeight="1">
      <c r="A570" s="51">
        <v>45869</v>
      </c>
      <c r="B570" t="s" s="52">
        <v>23</v>
      </c>
      <c r="C570" t="s" s="52">
        <v>84</v>
      </c>
      <c r="D570" t="s" s="52">
        <v>17</v>
      </c>
      <c r="E570" s="53">
        <v>10</v>
      </c>
      <c r="F570" s="54">
        <v>46605</v>
      </c>
      <c r="G570" s="54" cm="1">
        <f t="array" ref="G570">E570*F570</f>
        <v>466050</v>
      </c>
      <c r="H570" s="53" cm="1">
        <f t="array" ref="H570">YEAR(A570)</f>
        <v>2025</v>
      </c>
      <c r="I570" t="str" s="55" cm="1">
        <f t="array" ref="I570">"Q"&amp;ROUNDUP(MONTH(A570)/3,0)</f>
        <v>Q3</v>
      </c>
      <c r="J570" t="s" s="52">
        <v>57</v>
      </c>
    </row>
    <row r="571" ht="13.55" customHeight="1">
      <c r="A571" s="56">
        <v>45871</v>
      </c>
      <c r="B571" t="s" s="57">
        <v>22</v>
      </c>
      <c r="C571" t="s" s="57">
        <v>80</v>
      </c>
      <c r="D571" t="s" s="57">
        <v>18</v>
      </c>
      <c r="E571" s="58">
        <v>14</v>
      </c>
      <c r="F571" s="59">
        <v>8748</v>
      </c>
      <c r="G571" s="59" cm="1">
        <f t="array" ref="G571">E571*F571</f>
        <v>122472</v>
      </c>
      <c r="H571" s="58" cm="1">
        <f t="array" ref="H571">YEAR(A571)</f>
        <v>2025</v>
      </c>
      <c r="I571" t="str" s="60" cm="1">
        <f t="array" ref="I571">"Q"&amp;ROUNDUP(MONTH(A571)/3,0)</f>
        <v>Q3</v>
      </c>
      <c r="J571" t="s" s="57">
        <v>58</v>
      </c>
    </row>
    <row r="572" ht="13.55" customHeight="1">
      <c r="A572" s="51">
        <v>45872</v>
      </c>
      <c r="B572" t="s" s="52">
        <v>23</v>
      </c>
      <c r="C572" t="s" s="52">
        <v>83</v>
      </c>
      <c r="D572" t="s" s="52">
        <v>18</v>
      </c>
      <c r="E572" s="53">
        <v>17</v>
      </c>
      <c r="F572" s="54">
        <v>70982</v>
      </c>
      <c r="G572" s="54" cm="1">
        <f t="array" ref="G572">E572*F572</f>
        <v>1206694</v>
      </c>
      <c r="H572" s="53" cm="1">
        <f t="array" ref="H572">YEAR(A572)</f>
        <v>2025</v>
      </c>
      <c r="I572" t="str" s="55" cm="1">
        <f t="array" ref="I572">"Q"&amp;ROUNDUP(MONTH(A572)/3,0)</f>
        <v>Q3</v>
      </c>
      <c r="J572" t="s" s="52">
        <v>58</v>
      </c>
    </row>
    <row r="573" ht="13.55" customHeight="1">
      <c r="A573" s="56">
        <v>45878</v>
      </c>
      <c r="B573" t="s" s="57">
        <v>22</v>
      </c>
      <c r="C573" t="s" s="57">
        <v>78</v>
      </c>
      <c r="D573" t="s" s="57">
        <v>18</v>
      </c>
      <c r="E573" s="58">
        <v>18</v>
      </c>
      <c r="F573" s="59">
        <v>36455</v>
      </c>
      <c r="G573" s="59" cm="1">
        <f t="array" ref="G573">E573*F573</f>
        <v>656190</v>
      </c>
      <c r="H573" s="58" cm="1">
        <f t="array" ref="H573">YEAR(A573)</f>
        <v>2025</v>
      </c>
      <c r="I573" t="str" s="60" cm="1">
        <f t="array" ref="I573">"Q"&amp;ROUNDUP(MONTH(A573)/3,0)</f>
        <v>Q3</v>
      </c>
      <c r="J573" t="s" s="57">
        <v>58</v>
      </c>
    </row>
    <row r="574" ht="13.55" customHeight="1">
      <c r="A574" s="51">
        <v>45879</v>
      </c>
      <c r="B574" t="s" s="52">
        <v>21</v>
      </c>
      <c r="C574" t="s" s="52">
        <v>78</v>
      </c>
      <c r="D574" t="s" s="52">
        <v>15</v>
      </c>
      <c r="E574" s="53">
        <v>19</v>
      </c>
      <c r="F574" s="54">
        <v>50939</v>
      </c>
      <c r="G574" s="54" cm="1">
        <f t="array" ref="G574">E574*F574</f>
        <v>967841</v>
      </c>
      <c r="H574" s="53" cm="1">
        <f t="array" ref="H574">YEAR(A574)</f>
        <v>2025</v>
      </c>
      <c r="I574" t="str" s="55" cm="1">
        <f t="array" ref="I574">"Q"&amp;ROUNDUP(MONTH(A574)/3,0)</f>
        <v>Q3</v>
      </c>
      <c r="J574" t="s" s="52">
        <v>58</v>
      </c>
    </row>
    <row r="575" ht="13.55" customHeight="1">
      <c r="A575" s="56">
        <v>45884</v>
      </c>
      <c r="B575" t="s" s="57">
        <v>22</v>
      </c>
      <c r="C575" t="s" s="57">
        <v>81</v>
      </c>
      <c r="D575" t="s" s="57">
        <v>17</v>
      </c>
      <c r="E575" s="58">
        <v>6</v>
      </c>
      <c r="F575" s="59">
        <v>54831</v>
      </c>
      <c r="G575" s="59" cm="1">
        <f t="array" ref="G575">E575*F575</f>
        <v>328986</v>
      </c>
      <c r="H575" s="58" cm="1">
        <f t="array" ref="H575">YEAR(A575)</f>
        <v>2025</v>
      </c>
      <c r="I575" t="str" s="60" cm="1">
        <f t="array" ref="I575">"Q"&amp;ROUNDUP(MONTH(A575)/3,0)</f>
        <v>Q3</v>
      </c>
      <c r="J575" t="s" s="57">
        <v>58</v>
      </c>
    </row>
    <row r="576" ht="13.55" customHeight="1">
      <c r="A576" s="51">
        <v>45885</v>
      </c>
      <c r="B576" t="s" s="52">
        <v>20</v>
      </c>
      <c r="C576" t="s" s="52">
        <v>82</v>
      </c>
      <c r="D576" t="s" s="52">
        <v>16</v>
      </c>
      <c r="E576" s="53">
        <v>19</v>
      </c>
      <c r="F576" s="54">
        <v>43084</v>
      </c>
      <c r="G576" s="54" cm="1">
        <f t="array" ref="G576">E576*F576</f>
        <v>818596</v>
      </c>
      <c r="H576" s="53" cm="1">
        <f t="array" ref="H576">YEAR(A576)</f>
        <v>2025</v>
      </c>
      <c r="I576" t="str" s="55" cm="1">
        <f t="array" ref="I576">"Q"&amp;ROUNDUP(MONTH(A576)/3,0)</f>
        <v>Q3</v>
      </c>
      <c r="J576" t="s" s="52">
        <v>58</v>
      </c>
    </row>
    <row r="577" ht="13.55" customHeight="1">
      <c r="A577" s="56">
        <v>45887</v>
      </c>
      <c r="B577" t="s" s="57">
        <v>23</v>
      </c>
      <c r="C577" t="s" s="57">
        <v>78</v>
      </c>
      <c r="D577" t="s" s="57">
        <v>18</v>
      </c>
      <c r="E577" s="58">
        <v>18</v>
      </c>
      <c r="F577" s="59">
        <v>73895</v>
      </c>
      <c r="G577" s="59" cm="1">
        <f t="array" ref="G577">E577*F577</f>
        <v>1330110</v>
      </c>
      <c r="H577" s="58" cm="1">
        <f t="array" ref="H577">YEAR(A577)</f>
        <v>2025</v>
      </c>
      <c r="I577" t="str" s="60" cm="1">
        <f t="array" ref="I577">"Q"&amp;ROUNDUP(MONTH(A577)/3,0)</f>
        <v>Q3</v>
      </c>
      <c r="J577" t="s" s="57">
        <v>58</v>
      </c>
    </row>
    <row r="578" ht="13.55" customHeight="1">
      <c r="A578" s="51">
        <v>45892</v>
      </c>
      <c r="B578" t="s" s="52">
        <v>21</v>
      </c>
      <c r="C578" t="s" s="52">
        <v>78</v>
      </c>
      <c r="D578" t="s" s="52">
        <v>17</v>
      </c>
      <c r="E578" s="53">
        <v>6</v>
      </c>
      <c r="F578" s="54">
        <v>14486</v>
      </c>
      <c r="G578" s="54" cm="1">
        <f t="array" ref="G578">E578*F578</f>
        <v>86916</v>
      </c>
      <c r="H578" s="53" cm="1">
        <f t="array" ref="H578">YEAR(A578)</f>
        <v>2025</v>
      </c>
      <c r="I578" t="str" s="55" cm="1">
        <f t="array" ref="I578">"Q"&amp;ROUNDUP(MONTH(A578)/3,0)</f>
        <v>Q3</v>
      </c>
      <c r="J578" t="s" s="52">
        <v>58</v>
      </c>
    </row>
    <row r="579" ht="13.55" customHeight="1">
      <c r="A579" s="56">
        <v>45892</v>
      </c>
      <c r="B579" t="s" s="57">
        <v>21</v>
      </c>
      <c r="C579" t="s" s="57">
        <v>81</v>
      </c>
      <c r="D579" t="s" s="57">
        <v>18</v>
      </c>
      <c r="E579" s="58">
        <v>14</v>
      </c>
      <c r="F579" s="59">
        <v>60561</v>
      </c>
      <c r="G579" s="59" cm="1">
        <f t="array" ref="G579">E579*F579</f>
        <v>847854</v>
      </c>
      <c r="H579" s="58" cm="1">
        <f t="array" ref="H579">YEAR(A579)</f>
        <v>2025</v>
      </c>
      <c r="I579" t="str" s="60" cm="1">
        <f t="array" ref="I579">"Q"&amp;ROUNDUP(MONTH(A579)/3,0)</f>
        <v>Q3</v>
      </c>
      <c r="J579" t="s" s="57">
        <v>58</v>
      </c>
    </row>
    <row r="580" ht="13.55" customHeight="1">
      <c r="A580" s="51">
        <v>45893</v>
      </c>
      <c r="B580" t="s" s="52">
        <v>22</v>
      </c>
      <c r="C580" t="s" s="52">
        <v>84</v>
      </c>
      <c r="D580" t="s" s="52">
        <v>17</v>
      </c>
      <c r="E580" s="53">
        <v>8</v>
      </c>
      <c r="F580" s="54">
        <v>24456</v>
      </c>
      <c r="G580" s="54" cm="1">
        <f t="array" ref="G580">E580*F580</f>
        <v>195648</v>
      </c>
      <c r="H580" s="53" cm="1">
        <f t="array" ref="H580">YEAR(A580)</f>
        <v>2025</v>
      </c>
      <c r="I580" t="str" s="55" cm="1">
        <f t="array" ref="I580">"Q"&amp;ROUNDUP(MONTH(A580)/3,0)</f>
        <v>Q3</v>
      </c>
      <c r="J580" t="s" s="52">
        <v>58</v>
      </c>
    </row>
    <row r="581" ht="13.55" customHeight="1">
      <c r="A581" s="56">
        <v>45895</v>
      </c>
      <c r="B581" t="s" s="57">
        <v>22</v>
      </c>
      <c r="C581" t="s" s="57">
        <v>84</v>
      </c>
      <c r="D581" t="s" s="57">
        <v>15</v>
      </c>
      <c r="E581" s="58">
        <v>8</v>
      </c>
      <c r="F581" s="59">
        <v>50541</v>
      </c>
      <c r="G581" s="59" cm="1">
        <f t="array" ref="G581">E581*F581</f>
        <v>404328</v>
      </c>
      <c r="H581" s="58" cm="1">
        <f t="array" ref="H581">YEAR(A581)</f>
        <v>2025</v>
      </c>
      <c r="I581" t="str" s="60" cm="1">
        <f t="array" ref="I581">"Q"&amp;ROUNDUP(MONTH(A581)/3,0)</f>
        <v>Q3</v>
      </c>
      <c r="J581" t="s" s="57">
        <v>58</v>
      </c>
    </row>
    <row r="582" ht="13.55" customHeight="1">
      <c r="A582" s="51">
        <v>45896</v>
      </c>
      <c r="B582" t="s" s="52">
        <v>20</v>
      </c>
      <c r="C582" t="s" s="52">
        <v>82</v>
      </c>
      <c r="D582" t="s" s="52">
        <v>17</v>
      </c>
      <c r="E582" s="53">
        <v>13</v>
      </c>
      <c r="F582" s="54">
        <v>36027</v>
      </c>
      <c r="G582" s="54" cm="1">
        <f t="array" ref="G582">E582*F582</f>
        <v>468351</v>
      </c>
      <c r="H582" s="53" cm="1">
        <f t="array" ref="H582">YEAR(A582)</f>
        <v>2025</v>
      </c>
      <c r="I582" t="str" s="55" cm="1">
        <f t="array" ref="I582">"Q"&amp;ROUNDUP(MONTH(A582)/3,0)</f>
        <v>Q3</v>
      </c>
      <c r="J582" t="s" s="52">
        <v>58</v>
      </c>
    </row>
    <row r="583" ht="13.55" customHeight="1">
      <c r="A583" s="56">
        <v>45898</v>
      </c>
      <c r="B583" t="s" s="57">
        <v>21</v>
      </c>
      <c r="C583" t="s" s="57">
        <v>83</v>
      </c>
      <c r="D583" t="s" s="57">
        <v>15</v>
      </c>
      <c r="E583" s="58">
        <v>6</v>
      </c>
      <c r="F583" s="59">
        <v>49369</v>
      </c>
      <c r="G583" s="59" cm="1">
        <f t="array" ref="G583">E583*F583</f>
        <v>296214</v>
      </c>
      <c r="H583" s="58" cm="1">
        <f t="array" ref="H583">YEAR(A583)</f>
        <v>2025</v>
      </c>
      <c r="I583" t="str" s="60" cm="1">
        <f t="array" ref="I583">"Q"&amp;ROUNDUP(MONTH(A583)/3,0)</f>
        <v>Q3</v>
      </c>
      <c r="J583" t="s" s="57">
        <v>58</v>
      </c>
    </row>
    <row r="584" ht="13.55" customHeight="1">
      <c r="A584" s="51">
        <v>45898</v>
      </c>
      <c r="B584" t="s" s="52">
        <v>23</v>
      </c>
      <c r="C584" t="s" s="52">
        <v>82</v>
      </c>
      <c r="D584" t="s" s="52">
        <v>18</v>
      </c>
      <c r="E584" s="53">
        <v>13</v>
      </c>
      <c r="F584" s="54">
        <v>10232</v>
      </c>
      <c r="G584" s="54" cm="1">
        <f t="array" ref="G584">E584*F584</f>
        <v>133016</v>
      </c>
      <c r="H584" s="53" cm="1">
        <f t="array" ref="H584">YEAR(A584)</f>
        <v>2025</v>
      </c>
      <c r="I584" t="str" s="55" cm="1">
        <f t="array" ref="I584">"Q"&amp;ROUNDUP(MONTH(A584)/3,0)</f>
        <v>Q3</v>
      </c>
      <c r="J584" t="s" s="52">
        <v>58</v>
      </c>
    </row>
    <row r="585" ht="13.55" customHeight="1">
      <c r="A585" s="56">
        <v>45899</v>
      </c>
      <c r="B585" t="s" s="57">
        <v>20</v>
      </c>
      <c r="C585" t="s" s="57">
        <v>81</v>
      </c>
      <c r="D585" t="s" s="57">
        <v>17</v>
      </c>
      <c r="E585" s="58">
        <v>5</v>
      </c>
      <c r="F585" s="59">
        <v>10126</v>
      </c>
      <c r="G585" s="59" cm="1">
        <f t="array" ref="G585">E585*F585</f>
        <v>50630</v>
      </c>
      <c r="H585" s="58" cm="1">
        <f t="array" ref="H585">YEAR(A585)</f>
        <v>2025</v>
      </c>
      <c r="I585" t="str" s="60" cm="1">
        <f t="array" ref="I585">"Q"&amp;ROUNDUP(MONTH(A585)/3,0)</f>
        <v>Q3</v>
      </c>
      <c r="J585" t="s" s="57">
        <v>58</v>
      </c>
    </row>
    <row r="586" ht="13.55" customHeight="1">
      <c r="A586" s="51">
        <v>45899</v>
      </c>
      <c r="B586" t="s" s="52">
        <v>23</v>
      </c>
      <c r="C586" t="s" s="52">
        <v>78</v>
      </c>
      <c r="D586" t="s" s="52">
        <v>16</v>
      </c>
      <c r="E586" s="53">
        <v>8</v>
      </c>
      <c r="F586" s="54">
        <v>62021</v>
      </c>
      <c r="G586" s="54" cm="1">
        <f t="array" ref="G586">E586*F586</f>
        <v>496168</v>
      </c>
      <c r="H586" s="53" cm="1">
        <f t="array" ref="H586">YEAR(A586)</f>
        <v>2025</v>
      </c>
      <c r="I586" t="str" s="55" cm="1">
        <f t="array" ref="I586">"Q"&amp;ROUNDUP(MONTH(A586)/3,0)</f>
        <v>Q3</v>
      </c>
      <c r="J586" t="s" s="52">
        <v>58</v>
      </c>
    </row>
    <row r="587" ht="13.55" customHeight="1">
      <c r="A587" s="56">
        <v>45900</v>
      </c>
      <c r="B587" t="s" s="57">
        <v>21</v>
      </c>
      <c r="C587" t="s" s="57">
        <v>82</v>
      </c>
      <c r="D587" t="s" s="57">
        <v>17</v>
      </c>
      <c r="E587" s="58">
        <v>4</v>
      </c>
      <c r="F587" s="59">
        <v>19334</v>
      </c>
      <c r="G587" s="59" cm="1">
        <f t="array" ref="G587">E587*F587</f>
        <v>77336</v>
      </c>
      <c r="H587" s="58" cm="1">
        <f t="array" ref="H587">YEAR(A587)</f>
        <v>2025</v>
      </c>
      <c r="I587" t="str" s="60" cm="1">
        <f t="array" ref="I587">"Q"&amp;ROUNDUP(MONTH(A587)/3,0)</f>
        <v>Q3</v>
      </c>
      <c r="J587" t="s" s="57">
        <v>58</v>
      </c>
    </row>
    <row r="588" ht="13.55" customHeight="1">
      <c r="A588" s="51">
        <v>45900</v>
      </c>
      <c r="B588" t="s" s="52">
        <v>20</v>
      </c>
      <c r="C588" t="s" s="52">
        <v>82</v>
      </c>
      <c r="D588" t="s" s="52">
        <v>16</v>
      </c>
      <c r="E588" s="53">
        <v>5</v>
      </c>
      <c r="F588" s="54">
        <v>27335</v>
      </c>
      <c r="G588" s="54" cm="1">
        <f t="array" ref="G588">E588*F588</f>
        <v>136675</v>
      </c>
      <c r="H588" s="53" cm="1">
        <f t="array" ref="H588">YEAR(A588)</f>
        <v>2025</v>
      </c>
      <c r="I588" t="str" s="55" cm="1">
        <f t="array" ref="I588">"Q"&amp;ROUNDUP(MONTH(A588)/3,0)</f>
        <v>Q3</v>
      </c>
      <c r="J588" t="s" s="52">
        <v>58</v>
      </c>
    </row>
    <row r="589" ht="13.55" customHeight="1">
      <c r="A589" s="56">
        <v>45901</v>
      </c>
      <c r="B589" t="s" s="57">
        <v>22</v>
      </c>
      <c r="C589" t="s" s="57">
        <v>78</v>
      </c>
      <c r="D589" t="s" s="57">
        <v>18</v>
      </c>
      <c r="E589" s="58">
        <v>13</v>
      </c>
      <c r="F589" s="59">
        <v>56756</v>
      </c>
      <c r="G589" s="59" cm="1">
        <f t="array" ref="G589">E589*F589</f>
        <v>737828</v>
      </c>
      <c r="H589" s="58" cm="1">
        <f t="array" ref="H589">YEAR(A589)</f>
        <v>2025</v>
      </c>
      <c r="I589" t="str" s="60" cm="1">
        <f t="array" ref="I589">"Q"&amp;ROUNDUP(MONTH(A589)/3,0)</f>
        <v>Q3</v>
      </c>
      <c r="J589" t="s" s="57">
        <v>59</v>
      </c>
    </row>
    <row r="590" ht="13.55" customHeight="1">
      <c r="A590" s="51">
        <v>45902</v>
      </c>
      <c r="B590" t="s" s="52">
        <v>23</v>
      </c>
      <c r="C590" t="s" s="52">
        <v>81</v>
      </c>
      <c r="D590" t="s" s="52">
        <v>16</v>
      </c>
      <c r="E590" s="53">
        <v>5</v>
      </c>
      <c r="F590" s="54">
        <v>22374</v>
      </c>
      <c r="G590" s="54" cm="1">
        <f t="array" ref="G590">E590*F590</f>
        <v>111870</v>
      </c>
      <c r="H590" s="53" cm="1">
        <f t="array" ref="H590">YEAR(A590)</f>
        <v>2025</v>
      </c>
      <c r="I590" t="str" s="55" cm="1">
        <f t="array" ref="I590">"Q"&amp;ROUNDUP(MONTH(A590)/3,0)</f>
        <v>Q3</v>
      </c>
      <c r="J590" t="s" s="52">
        <v>59</v>
      </c>
    </row>
    <row r="591" ht="13.55" customHeight="1">
      <c r="A591" s="56">
        <v>45903</v>
      </c>
      <c r="B591" t="s" s="57">
        <v>23</v>
      </c>
      <c r="C591" t="s" s="57">
        <v>83</v>
      </c>
      <c r="D591" t="s" s="57">
        <v>18</v>
      </c>
      <c r="E591" s="58">
        <v>11</v>
      </c>
      <c r="F591" s="59">
        <v>9992</v>
      </c>
      <c r="G591" s="59" cm="1">
        <f t="array" ref="G591">E591*F591</f>
        <v>109912</v>
      </c>
      <c r="H591" s="58" cm="1">
        <f t="array" ref="H591">YEAR(A591)</f>
        <v>2025</v>
      </c>
      <c r="I591" t="str" s="60" cm="1">
        <f t="array" ref="I591">"Q"&amp;ROUNDUP(MONTH(A591)/3,0)</f>
        <v>Q3</v>
      </c>
      <c r="J591" t="s" s="57">
        <v>59</v>
      </c>
    </row>
    <row r="592" ht="13.55" customHeight="1">
      <c r="A592" s="51">
        <v>45903</v>
      </c>
      <c r="B592" t="s" s="52">
        <v>21</v>
      </c>
      <c r="C592" t="s" s="52">
        <v>83</v>
      </c>
      <c r="D592" t="s" s="52">
        <v>18</v>
      </c>
      <c r="E592" s="53">
        <v>15</v>
      </c>
      <c r="F592" s="54">
        <v>71981</v>
      </c>
      <c r="G592" s="54" cm="1">
        <f t="array" ref="G592">E592*F592</f>
        <v>1079715</v>
      </c>
      <c r="H592" s="53" cm="1">
        <f t="array" ref="H592">YEAR(A592)</f>
        <v>2025</v>
      </c>
      <c r="I592" t="str" s="55" cm="1">
        <f t="array" ref="I592">"Q"&amp;ROUNDUP(MONTH(A592)/3,0)</f>
        <v>Q3</v>
      </c>
      <c r="J592" t="s" s="52">
        <v>59</v>
      </c>
    </row>
    <row r="593" ht="13.55" customHeight="1">
      <c r="A593" s="56">
        <v>45904</v>
      </c>
      <c r="B593" t="s" s="57">
        <v>23</v>
      </c>
      <c r="C593" t="s" s="57">
        <v>82</v>
      </c>
      <c r="D593" t="s" s="57">
        <v>15</v>
      </c>
      <c r="E593" s="58">
        <v>7</v>
      </c>
      <c r="F593" s="59">
        <v>31616</v>
      </c>
      <c r="G593" s="59" cm="1">
        <f t="array" ref="G593">E593*F593</f>
        <v>221312</v>
      </c>
      <c r="H593" s="58" cm="1">
        <f t="array" ref="H593">YEAR(A593)</f>
        <v>2025</v>
      </c>
      <c r="I593" t="str" s="60" cm="1">
        <f t="array" ref="I593">"Q"&amp;ROUNDUP(MONTH(A593)/3,0)</f>
        <v>Q3</v>
      </c>
      <c r="J593" t="s" s="57">
        <v>59</v>
      </c>
    </row>
    <row r="594" ht="13.55" customHeight="1">
      <c r="A594" s="51">
        <v>45904</v>
      </c>
      <c r="B594" t="s" s="52">
        <v>23</v>
      </c>
      <c r="C594" t="s" s="52">
        <v>80</v>
      </c>
      <c r="D594" t="s" s="52">
        <v>18</v>
      </c>
      <c r="E594" s="53">
        <v>6</v>
      </c>
      <c r="F594" s="54">
        <v>59028</v>
      </c>
      <c r="G594" s="54" cm="1">
        <f t="array" ref="G594">E594*F594</f>
        <v>354168</v>
      </c>
      <c r="H594" s="53" cm="1">
        <f t="array" ref="H594">YEAR(A594)</f>
        <v>2025</v>
      </c>
      <c r="I594" t="str" s="55" cm="1">
        <f t="array" ref="I594">"Q"&amp;ROUNDUP(MONTH(A594)/3,0)</f>
        <v>Q3</v>
      </c>
      <c r="J594" t="s" s="52">
        <v>59</v>
      </c>
    </row>
    <row r="595" ht="13.55" customHeight="1">
      <c r="A595" s="56">
        <v>45904</v>
      </c>
      <c r="B595" t="s" s="57">
        <v>23</v>
      </c>
      <c r="C595" t="s" s="57">
        <v>82</v>
      </c>
      <c r="D595" t="s" s="57">
        <v>16</v>
      </c>
      <c r="E595" s="58">
        <v>12</v>
      </c>
      <c r="F595" s="59">
        <v>69450</v>
      </c>
      <c r="G595" s="59" cm="1">
        <f t="array" ref="G595">E595*F595</f>
        <v>833400</v>
      </c>
      <c r="H595" s="58" cm="1">
        <f t="array" ref="H595">YEAR(A595)</f>
        <v>2025</v>
      </c>
      <c r="I595" t="str" s="60" cm="1">
        <f t="array" ref="I595">"Q"&amp;ROUNDUP(MONTH(A595)/3,0)</f>
        <v>Q3</v>
      </c>
      <c r="J595" t="s" s="57">
        <v>59</v>
      </c>
    </row>
    <row r="596" ht="13.55" customHeight="1">
      <c r="A596" s="51">
        <v>45904</v>
      </c>
      <c r="B596" t="s" s="52">
        <v>23</v>
      </c>
      <c r="C596" t="s" s="52">
        <v>78</v>
      </c>
      <c r="D596" t="s" s="52">
        <v>15</v>
      </c>
      <c r="E596" s="53">
        <v>17</v>
      </c>
      <c r="F596" s="54">
        <v>14359</v>
      </c>
      <c r="G596" s="54" cm="1">
        <f t="array" ref="G596">E596*F596</f>
        <v>244103</v>
      </c>
      <c r="H596" s="53" cm="1">
        <f t="array" ref="H596">YEAR(A596)</f>
        <v>2025</v>
      </c>
      <c r="I596" t="str" s="55" cm="1">
        <f t="array" ref="I596">"Q"&amp;ROUNDUP(MONTH(A596)/3,0)</f>
        <v>Q3</v>
      </c>
      <c r="J596" t="s" s="52">
        <v>59</v>
      </c>
    </row>
    <row r="597" ht="13.55" customHeight="1">
      <c r="A597" s="56">
        <v>45906</v>
      </c>
      <c r="B597" t="s" s="57">
        <v>23</v>
      </c>
      <c r="C597" t="s" s="57">
        <v>81</v>
      </c>
      <c r="D597" t="s" s="57">
        <v>18</v>
      </c>
      <c r="E597" s="58">
        <v>3</v>
      </c>
      <c r="F597" s="59">
        <v>15808</v>
      </c>
      <c r="G597" s="59" cm="1">
        <f t="array" ref="G597">E597*F597</f>
        <v>47424</v>
      </c>
      <c r="H597" s="58" cm="1">
        <f t="array" ref="H597">YEAR(A597)</f>
        <v>2025</v>
      </c>
      <c r="I597" t="str" s="60" cm="1">
        <f t="array" ref="I597">"Q"&amp;ROUNDUP(MONTH(A597)/3,0)</f>
        <v>Q3</v>
      </c>
      <c r="J597" t="s" s="57">
        <v>59</v>
      </c>
    </row>
    <row r="598" ht="13.55" customHeight="1">
      <c r="A598" s="51">
        <v>45908</v>
      </c>
      <c r="B598" t="s" s="52">
        <v>22</v>
      </c>
      <c r="C598" t="s" s="52">
        <v>83</v>
      </c>
      <c r="D598" t="s" s="52">
        <v>17</v>
      </c>
      <c r="E598" s="53">
        <v>11</v>
      </c>
      <c r="F598" s="54">
        <v>51922</v>
      </c>
      <c r="G598" s="54" cm="1">
        <f t="array" ref="G598">E598*F598</f>
        <v>571142</v>
      </c>
      <c r="H598" s="53" cm="1">
        <f t="array" ref="H598">YEAR(A598)</f>
        <v>2025</v>
      </c>
      <c r="I598" t="str" s="55" cm="1">
        <f t="array" ref="I598">"Q"&amp;ROUNDUP(MONTH(A598)/3,0)</f>
        <v>Q3</v>
      </c>
      <c r="J598" t="s" s="52">
        <v>59</v>
      </c>
    </row>
    <row r="599" ht="13.55" customHeight="1">
      <c r="A599" s="56">
        <v>45911</v>
      </c>
      <c r="B599" t="s" s="57">
        <v>22</v>
      </c>
      <c r="C599" t="s" s="57">
        <v>78</v>
      </c>
      <c r="D599" t="s" s="57">
        <v>16</v>
      </c>
      <c r="E599" s="58">
        <v>18</v>
      </c>
      <c r="F599" s="59">
        <v>51172</v>
      </c>
      <c r="G599" s="59" cm="1">
        <f t="array" ref="G599">E599*F599</f>
        <v>921096</v>
      </c>
      <c r="H599" s="58" cm="1">
        <f t="array" ref="H599">YEAR(A599)</f>
        <v>2025</v>
      </c>
      <c r="I599" t="str" s="60" cm="1">
        <f t="array" ref="I599">"Q"&amp;ROUNDUP(MONTH(A599)/3,0)</f>
        <v>Q3</v>
      </c>
      <c r="J599" t="s" s="57">
        <v>59</v>
      </c>
    </row>
    <row r="600" ht="13.55" customHeight="1">
      <c r="A600" s="51">
        <v>45911</v>
      </c>
      <c r="B600" t="s" s="52">
        <v>21</v>
      </c>
      <c r="C600" t="s" s="52">
        <v>80</v>
      </c>
      <c r="D600" t="s" s="52">
        <v>17</v>
      </c>
      <c r="E600" s="53">
        <v>2</v>
      </c>
      <c r="F600" s="54">
        <v>77617</v>
      </c>
      <c r="G600" s="54" cm="1">
        <f t="array" ref="G600">E600*F600</f>
        <v>155234</v>
      </c>
      <c r="H600" s="53" cm="1">
        <f t="array" ref="H600">YEAR(A600)</f>
        <v>2025</v>
      </c>
      <c r="I600" t="str" s="55" cm="1">
        <f t="array" ref="I600">"Q"&amp;ROUNDUP(MONTH(A600)/3,0)</f>
        <v>Q3</v>
      </c>
      <c r="J600" t="s" s="52">
        <v>59</v>
      </c>
    </row>
    <row r="601" ht="13.55" customHeight="1">
      <c r="A601" s="56">
        <v>45915</v>
      </c>
      <c r="B601" t="s" s="57">
        <v>23</v>
      </c>
      <c r="C601" t="s" s="57">
        <v>78</v>
      </c>
      <c r="D601" t="s" s="57">
        <v>15</v>
      </c>
      <c r="E601" s="58">
        <v>13</v>
      </c>
      <c r="F601" s="59">
        <v>61233</v>
      </c>
      <c r="G601" s="59" cm="1">
        <f t="array" ref="G601">E601*F601</f>
        <v>796029</v>
      </c>
      <c r="H601" s="58" cm="1">
        <f t="array" ref="H601">YEAR(A601)</f>
        <v>2025</v>
      </c>
      <c r="I601" t="str" s="60" cm="1">
        <f t="array" ref="I601">"Q"&amp;ROUNDUP(MONTH(A601)/3,0)</f>
        <v>Q3</v>
      </c>
      <c r="J601" t="s" s="57">
        <v>59</v>
      </c>
    </row>
    <row r="602" ht="13.55" customHeight="1">
      <c r="A602" s="51">
        <v>45916</v>
      </c>
      <c r="B602" t="s" s="52">
        <v>23</v>
      </c>
      <c r="C602" t="s" s="52">
        <v>84</v>
      </c>
      <c r="D602" t="s" s="52">
        <v>17</v>
      </c>
      <c r="E602" s="53">
        <v>6</v>
      </c>
      <c r="F602" s="54">
        <v>47056</v>
      </c>
      <c r="G602" s="54" cm="1">
        <f t="array" ref="G602">E602*F602</f>
        <v>282336</v>
      </c>
      <c r="H602" s="53" cm="1">
        <f t="array" ref="H602">YEAR(A602)</f>
        <v>2025</v>
      </c>
      <c r="I602" t="str" s="55" cm="1">
        <f t="array" ref="I602">"Q"&amp;ROUNDUP(MONTH(A602)/3,0)</f>
        <v>Q3</v>
      </c>
      <c r="J602" t="s" s="52">
        <v>59</v>
      </c>
    </row>
    <row r="603" ht="13.55" customHeight="1">
      <c r="A603" s="56">
        <v>45916</v>
      </c>
      <c r="B603" t="s" s="57">
        <v>20</v>
      </c>
      <c r="C603" t="s" s="57">
        <v>82</v>
      </c>
      <c r="D603" t="s" s="57">
        <v>17</v>
      </c>
      <c r="E603" s="58">
        <v>17</v>
      </c>
      <c r="F603" s="59">
        <v>21767</v>
      </c>
      <c r="G603" s="59" cm="1">
        <f t="array" ref="G603">E603*F603</f>
        <v>370039</v>
      </c>
      <c r="H603" s="58" cm="1">
        <f t="array" ref="H603">YEAR(A603)</f>
        <v>2025</v>
      </c>
      <c r="I603" t="str" s="60" cm="1">
        <f t="array" ref="I603">"Q"&amp;ROUNDUP(MONTH(A603)/3,0)</f>
        <v>Q3</v>
      </c>
      <c r="J603" t="s" s="57">
        <v>59</v>
      </c>
    </row>
    <row r="604" ht="13.55" customHeight="1">
      <c r="A604" s="51">
        <v>45917</v>
      </c>
      <c r="B604" t="s" s="52">
        <v>20</v>
      </c>
      <c r="C604" t="s" s="52">
        <v>80</v>
      </c>
      <c r="D604" t="s" s="52">
        <v>15</v>
      </c>
      <c r="E604" s="53">
        <v>11</v>
      </c>
      <c r="F604" s="54">
        <v>24692</v>
      </c>
      <c r="G604" s="54" cm="1">
        <f t="array" ref="G604">E604*F604</f>
        <v>271612</v>
      </c>
      <c r="H604" s="53" cm="1">
        <f t="array" ref="H604">YEAR(A604)</f>
        <v>2025</v>
      </c>
      <c r="I604" t="str" s="55" cm="1">
        <f t="array" ref="I604">"Q"&amp;ROUNDUP(MONTH(A604)/3,0)</f>
        <v>Q3</v>
      </c>
      <c r="J604" t="s" s="52">
        <v>59</v>
      </c>
    </row>
    <row r="605" ht="13.55" customHeight="1">
      <c r="A605" s="56">
        <v>45917</v>
      </c>
      <c r="B605" t="s" s="57">
        <v>21</v>
      </c>
      <c r="C605" t="s" s="57">
        <v>78</v>
      </c>
      <c r="D605" t="s" s="57">
        <v>15</v>
      </c>
      <c r="E605" s="58">
        <v>14</v>
      </c>
      <c r="F605" s="59">
        <v>66845</v>
      </c>
      <c r="G605" s="59" cm="1">
        <f t="array" ref="G605">E605*F605</f>
        <v>935830</v>
      </c>
      <c r="H605" s="58" cm="1">
        <f t="array" ref="H605">YEAR(A605)</f>
        <v>2025</v>
      </c>
      <c r="I605" t="str" s="60" cm="1">
        <f t="array" ref="I605">"Q"&amp;ROUNDUP(MONTH(A605)/3,0)</f>
        <v>Q3</v>
      </c>
      <c r="J605" t="s" s="57">
        <v>59</v>
      </c>
    </row>
    <row r="606" ht="13.55" customHeight="1">
      <c r="A606" s="51">
        <v>45919</v>
      </c>
      <c r="B606" t="s" s="52">
        <v>20</v>
      </c>
      <c r="C606" t="s" s="52">
        <v>81</v>
      </c>
      <c r="D606" t="s" s="52">
        <v>15</v>
      </c>
      <c r="E606" s="53">
        <v>19</v>
      </c>
      <c r="F606" s="54">
        <v>12485</v>
      </c>
      <c r="G606" s="54" cm="1">
        <f t="array" ref="G606">E606*F606</f>
        <v>237215</v>
      </c>
      <c r="H606" s="53" cm="1">
        <f t="array" ref="H606">YEAR(A606)</f>
        <v>2025</v>
      </c>
      <c r="I606" t="str" s="55" cm="1">
        <f t="array" ref="I606">"Q"&amp;ROUNDUP(MONTH(A606)/3,0)</f>
        <v>Q3</v>
      </c>
      <c r="J606" t="s" s="52">
        <v>59</v>
      </c>
    </row>
    <row r="607" ht="13.55" customHeight="1">
      <c r="A607" s="56">
        <v>45919</v>
      </c>
      <c r="B607" t="s" s="57">
        <v>21</v>
      </c>
      <c r="C607" t="s" s="57">
        <v>80</v>
      </c>
      <c r="D607" t="s" s="57">
        <v>16</v>
      </c>
      <c r="E607" s="58">
        <v>18</v>
      </c>
      <c r="F607" s="59">
        <v>13640</v>
      </c>
      <c r="G607" s="59" cm="1">
        <f t="array" ref="G607">E607*F607</f>
        <v>245520</v>
      </c>
      <c r="H607" s="58" cm="1">
        <f t="array" ref="H607">YEAR(A607)</f>
        <v>2025</v>
      </c>
      <c r="I607" t="str" s="60" cm="1">
        <f t="array" ref="I607">"Q"&amp;ROUNDUP(MONTH(A607)/3,0)</f>
        <v>Q3</v>
      </c>
      <c r="J607" t="s" s="57">
        <v>59</v>
      </c>
    </row>
    <row r="608" ht="13.55" customHeight="1">
      <c r="A608" s="51">
        <v>45924</v>
      </c>
      <c r="B608" t="s" s="52">
        <v>21</v>
      </c>
      <c r="C608" t="s" s="52">
        <v>78</v>
      </c>
      <c r="D608" t="s" s="52">
        <v>17</v>
      </c>
      <c r="E608" s="53">
        <v>11</v>
      </c>
      <c r="F608" s="54">
        <v>54170</v>
      </c>
      <c r="G608" s="54" cm="1">
        <f t="array" ref="G608">E608*F608</f>
        <v>595870</v>
      </c>
      <c r="H608" s="53" cm="1">
        <f t="array" ref="H608">YEAR(A608)</f>
        <v>2025</v>
      </c>
      <c r="I608" t="str" s="55" cm="1">
        <f t="array" ref="I608">"Q"&amp;ROUNDUP(MONTH(A608)/3,0)</f>
        <v>Q3</v>
      </c>
      <c r="J608" t="s" s="52">
        <v>59</v>
      </c>
    </row>
    <row r="609" ht="13.55" customHeight="1">
      <c r="A609" s="56">
        <v>45925</v>
      </c>
      <c r="B609" t="s" s="57">
        <v>21</v>
      </c>
      <c r="C609" t="s" s="57">
        <v>83</v>
      </c>
      <c r="D609" t="s" s="57">
        <v>16</v>
      </c>
      <c r="E609" s="58">
        <v>5</v>
      </c>
      <c r="F609" s="59">
        <v>25354</v>
      </c>
      <c r="G609" s="59" cm="1">
        <f t="array" ref="G609">E609*F609</f>
        <v>126770</v>
      </c>
      <c r="H609" s="58" cm="1">
        <f t="array" ref="H609">YEAR(A609)</f>
        <v>2025</v>
      </c>
      <c r="I609" t="str" s="60" cm="1">
        <f t="array" ref="I609">"Q"&amp;ROUNDUP(MONTH(A609)/3,0)</f>
        <v>Q3</v>
      </c>
      <c r="J609" t="s" s="57">
        <v>59</v>
      </c>
    </row>
    <row r="610" ht="13.55" customHeight="1">
      <c r="A610" s="51">
        <v>45925</v>
      </c>
      <c r="B610" t="s" s="52">
        <v>20</v>
      </c>
      <c r="C610" t="s" s="52">
        <v>80</v>
      </c>
      <c r="D610" t="s" s="52">
        <v>15</v>
      </c>
      <c r="E610" s="53">
        <v>17</v>
      </c>
      <c r="F610" s="54">
        <v>15345</v>
      </c>
      <c r="G610" s="54" cm="1">
        <f t="array" ref="G610">E610*F610</f>
        <v>260865</v>
      </c>
      <c r="H610" s="53" cm="1">
        <f t="array" ref="H610">YEAR(A610)</f>
        <v>2025</v>
      </c>
      <c r="I610" t="str" s="55" cm="1">
        <f t="array" ref="I610">"Q"&amp;ROUNDUP(MONTH(A610)/3,0)</f>
        <v>Q3</v>
      </c>
      <c r="J610" t="s" s="52">
        <v>59</v>
      </c>
    </row>
    <row r="611" ht="13.55" customHeight="1">
      <c r="A611" s="56">
        <v>45925</v>
      </c>
      <c r="B611" t="s" s="57">
        <v>21</v>
      </c>
      <c r="C611" t="s" s="57">
        <v>78</v>
      </c>
      <c r="D611" t="s" s="57">
        <v>16</v>
      </c>
      <c r="E611" s="58">
        <v>13</v>
      </c>
      <c r="F611" s="59">
        <v>6987</v>
      </c>
      <c r="G611" s="59" cm="1">
        <f t="array" ref="G611">E611*F611</f>
        <v>90831</v>
      </c>
      <c r="H611" s="58" cm="1">
        <f t="array" ref="H611">YEAR(A611)</f>
        <v>2025</v>
      </c>
      <c r="I611" t="str" s="60" cm="1">
        <f t="array" ref="I611">"Q"&amp;ROUNDUP(MONTH(A611)/3,0)</f>
        <v>Q3</v>
      </c>
      <c r="J611" t="s" s="57">
        <v>59</v>
      </c>
    </row>
    <row r="612" ht="13.55" customHeight="1">
      <c r="A612" s="51">
        <v>45927</v>
      </c>
      <c r="B612" t="s" s="52">
        <v>21</v>
      </c>
      <c r="C612" t="s" s="52">
        <v>78</v>
      </c>
      <c r="D612" t="s" s="52">
        <v>16</v>
      </c>
      <c r="E612" s="53">
        <v>11</v>
      </c>
      <c r="F612" s="54">
        <v>52893</v>
      </c>
      <c r="G612" s="54" cm="1">
        <f t="array" ref="G612">E612*F612</f>
        <v>581823</v>
      </c>
      <c r="H612" s="53" cm="1">
        <f t="array" ref="H612">YEAR(A612)</f>
        <v>2025</v>
      </c>
      <c r="I612" t="str" s="55" cm="1">
        <f t="array" ref="I612">"Q"&amp;ROUNDUP(MONTH(A612)/3,0)</f>
        <v>Q3</v>
      </c>
      <c r="J612" t="s" s="52">
        <v>59</v>
      </c>
    </row>
    <row r="613" ht="13.55" customHeight="1">
      <c r="A613" s="56">
        <v>45929</v>
      </c>
      <c r="B613" t="s" s="57">
        <v>23</v>
      </c>
      <c r="C613" t="s" s="57">
        <v>80</v>
      </c>
      <c r="D613" t="s" s="57">
        <v>16</v>
      </c>
      <c r="E613" s="58">
        <v>6</v>
      </c>
      <c r="F613" s="59">
        <v>36417</v>
      </c>
      <c r="G613" s="59" cm="1">
        <f t="array" ref="G613">E613*F613</f>
        <v>218502</v>
      </c>
      <c r="H613" s="58" cm="1">
        <f t="array" ref="H613">YEAR(A613)</f>
        <v>2025</v>
      </c>
      <c r="I613" t="str" s="60" cm="1">
        <f t="array" ref="I613">"Q"&amp;ROUNDUP(MONTH(A613)/3,0)</f>
        <v>Q3</v>
      </c>
      <c r="J613" t="s" s="57">
        <v>59</v>
      </c>
    </row>
    <row r="614" ht="13.55" customHeight="1">
      <c r="A614" s="51">
        <v>45929</v>
      </c>
      <c r="B614" t="s" s="52">
        <v>21</v>
      </c>
      <c r="C614" t="s" s="52">
        <v>81</v>
      </c>
      <c r="D614" t="s" s="52">
        <v>17</v>
      </c>
      <c r="E614" s="53">
        <v>14</v>
      </c>
      <c r="F614" s="54">
        <v>59219</v>
      </c>
      <c r="G614" s="54" cm="1">
        <f t="array" ref="G614">E614*F614</f>
        <v>829066</v>
      </c>
      <c r="H614" s="53" cm="1">
        <f t="array" ref="H614">YEAR(A614)</f>
        <v>2025</v>
      </c>
      <c r="I614" t="str" s="55" cm="1">
        <f t="array" ref="I614">"Q"&amp;ROUNDUP(MONTH(A614)/3,0)</f>
        <v>Q3</v>
      </c>
      <c r="J614" t="s" s="52">
        <v>59</v>
      </c>
    </row>
    <row r="615" ht="13.55" customHeight="1">
      <c r="A615" s="56">
        <v>45929</v>
      </c>
      <c r="B615" t="s" s="57">
        <v>20</v>
      </c>
      <c r="C615" t="s" s="57">
        <v>83</v>
      </c>
      <c r="D615" t="s" s="57">
        <v>16</v>
      </c>
      <c r="E615" s="58">
        <v>13</v>
      </c>
      <c r="F615" s="59">
        <v>74300</v>
      </c>
      <c r="G615" s="59" cm="1">
        <f t="array" ref="G615">E615*F615</f>
        <v>965900</v>
      </c>
      <c r="H615" s="58" cm="1">
        <f t="array" ref="H615">YEAR(A615)</f>
        <v>2025</v>
      </c>
      <c r="I615" t="str" s="60" cm="1">
        <f t="array" ref="I615">"Q"&amp;ROUNDUP(MONTH(A615)/3,0)</f>
        <v>Q3</v>
      </c>
      <c r="J615" t="s" s="57">
        <v>59</v>
      </c>
    </row>
    <row r="616" ht="13.55" customHeight="1">
      <c r="A616" s="51">
        <v>45930</v>
      </c>
      <c r="B616" t="s" s="52">
        <v>21</v>
      </c>
      <c r="C616" t="s" s="52">
        <v>84</v>
      </c>
      <c r="D616" t="s" s="52">
        <v>17</v>
      </c>
      <c r="E616" s="53">
        <v>12</v>
      </c>
      <c r="F616" s="54">
        <v>9529</v>
      </c>
      <c r="G616" s="54" cm="1">
        <f t="array" ref="G616">E616*F616</f>
        <v>114348</v>
      </c>
      <c r="H616" s="53" cm="1">
        <f t="array" ref="H616">YEAR(A616)</f>
        <v>2025</v>
      </c>
      <c r="I616" t="str" s="55" cm="1">
        <f t="array" ref="I616">"Q"&amp;ROUNDUP(MONTH(A616)/3,0)</f>
        <v>Q3</v>
      </c>
      <c r="J616" t="s" s="52">
        <v>59</v>
      </c>
    </row>
    <row r="617" ht="13.55" customHeight="1">
      <c r="A617" s="56">
        <v>45931</v>
      </c>
      <c r="B617" t="s" s="57">
        <v>21</v>
      </c>
      <c r="C617" t="s" s="57">
        <v>78</v>
      </c>
      <c r="D617" t="s" s="57">
        <v>17</v>
      </c>
      <c r="E617" s="58">
        <v>15</v>
      </c>
      <c r="F617" s="59">
        <v>17391</v>
      </c>
      <c r="G617" s="59" cm="1">
        <f t="array" ref="G617">E617*F617</f>
        <v>260865</v>
      </c>
      <c r="H617" s="58" cm="1">
        <f t="array" ref="H617">YEAR(A617)</f>
        <v>2025</v>
      </c>
      <c r="I617" t="str" s="60" cm="1">
        <f t="array" ref="I617">"Q"&amp;ROUNDUP(MONTH(A617)/3,0)</f>
        <v>Q4</v>
      </c>
      <c r="J617" t="s" s="57">
        <v>60</v>
      </c>
    </row>
    <row r="618" ht="13.55" customHeight="1">
      <c r="A618" s="51">
        <v>45931</v>
      </c>
      <c r="B618" t="s" s="52">
        <v>22</v>
      </c>
      <c r="C618" t="s" s="52">
        <v>80</v>
      </c>
      <c r="D618" t="s" s="52">
        <v>18</v>
      </c>
      <c r="E618" s="53">
        <v>17</v>
      </c>
      <c r="F618" s="54">
        <v>74166</v>
      </c>
      <c r="G618" s="54" cm="1">
        <f t="array" ref="G618">E618*F618</f>
        <v>1260822</v>
      </c>
      <c r="H618" s="53" cm="1">
        <f t="array" ref="H618">YEAR(A618)</f>
        <v>2025</v>
      </c>
      <c r="I618" t="str" s="55" cm="1">
        <f t="array" ref="I618">"Q"&amp;ROUNDUP(MONTH(A618)/3,0)</f>
        <v>Q4</v>
      </c>
      <c r="J618" t="s" s="52">
        <v>60</v>
      </c>
    </row>
    <row r="619" ht="13.55" customHeight="1">
      <c r="A619" s="56">
        <v>45931</v>
      </c>
      <c r="B619" t="s" s="57">
        <v>21</v>
      </c>
      <c r="C619" t="s" s="57">
        <v>80</v>
      </c>
      <c r="D619" t="s" s="57">
        <v>16</v>
      </c>
      <c r="E619" s="58">
        <v>2</v>
      </c>
      <c r="F619" s="59">
        <v>73975</v>
      </c>
      <c r="G619" s="59" cm="1">
        <f t="array" ref="G619">E619*F619</f>
        <v>147950</v>
      </c>
      <c r="H619" s="58" cm="1">
        <f t="array" ref="H619">YEAR(A619)</f>
        <v>2025</v>
      </c>
      <c r="I619" t="str" s="60" cm="1">
        <f t="array" ref="I619">"Q"&amp;ROUNDUP(MONTH(A619)/3,0)</f>
        <v>Q4</v>
      </c>
      <c r="J619" t="s" s="57">
        <v>60</v>
      </c>
    </row>
    <row r="620" ht="13.55" customHeight="1">
      <c r="A620" s="51">
        <v>45932</v>
      </c>
      <c r="B620" t="s" s="52">
        <v>20</v>
      </c>
      <c r="C620" t="s" s="52">
        <v>84</v>
      </c>
      <c r="D620" t="s" s="52">
        <v>18</v>
      </c>
      <c r="E620" s="53">
        <v>3</v>
      </c>
      <c r="F620" s="54">
        <v>78193</v>
      </c>
      <c r="G620" s="54" cm="1">
        <f t="array" ref="G620">E620*F620</f>
        <v>234579</v>
      </c>
      <c r="H620" s="53" cm="1">
        <f t="array" ref="H620">YEAR(A620)</f>
        <v>2025</v>
      </c>
      <c r="I620" t="str" s="55" cm="1">
        <f t="array" ref="I620">"Q"&amp;ROUNDUP(MONTH(A620)/3,0)</f>
        <v>Q4</v>
      </c>
      <c r="J620" t="s" s="52">
        <v>60</v>
      </c>
    </row>
    <row r="621" ht="13.55" customHeight="1">
      <c r="A621" s="56">
        <v>45932</v>
      </c>
      <c r="B621" t="s" s="57">
        <v>20</v>
      </c>
      <c r="C621" t="s" s="57">
        <v>78</v>
      </c>
      <c r="D621" t="s" s="57">
        <v>15</v>
      </c>
      <c r="E621" s="58">
        <v>17</v>
      </c>
      <c r="F621" s="59">
        <v>16577</v>
      </c>
      <c r="G621" s="59" cm="1">
        <f t="array" ref="G621">E621*F621</f>
        <v>281809</v>
      </c>
      <c r="H621" s="58" cm="1">
        <f t="array" ref="H621">YEAR(A621)</f>
        <v>2025</v>
      </c>
      <c r="I621" t="str" s="60" cm="1">
        <f t="array" ref="I621">"Q"&amp;ROUNDUP(MONTH(A621)/3,0)</f>
        <v>Q4</v>
      </c>
      <c r="J621" t="s" s="57">
        <v>60</v>
      </c>
    </row>
    <row r="622" ht="13.55" customHeight="1">
      <c r="A622" s="51">
        <v>45933</v>
      </c>
      <c r="B622" t="s" s="52">
        <v>20</v>
      </c>
      <c r="C622" t="s" s="52">
        <v>84</v>
      </c>
      <c r="D622" t="s" s="52">
        <v>16</v>
      </c>
      <c r="E622" s="53">
        <v>6</v>
      </c>
      <c r="F622" s="54">
        <v>30963</v>
      </c>
      <c r="G622" s="54" cm="1">
        <f t="array" ref="G622">E622*F622</f>
        <v>185778</v>
      </c>
      <c r="H622" s="53" cm="1">
        <f t="array" ref="H622">YEAR(A622)</f>
        <v>2025</v>
      </c>
      <c r="I622" t="str" s="55" cm="1">
        <f t="array" ref="I622">"Q"&amp;ROUNDUP(MONTH(A622)/3,0)</f>
        <v>Q4</v>
      </c>
      <c r="J622" t="s" s="52">
        <v>60</v>
      </c>
    </row>
    <row r="623" ht="13.55" customHeight="1">
      <c r="A623" s="56">
        <v>45934</v>
      </c>
      <c r="B623" t="s" s="57">
        <v>21</v>
      </c>
      <c r="C623" t="s" s="57">
        <v>83</v>
      </c>
      <c r="D623" t="s" s="57">
        <v>18</v>
      </c>
      <c r="E623" s="58">
        <v>8</v>
      </c>
      <c r="F623" s="59">
        <v>68059</v>
      </c>
      <c r="G623" s="59" cm="1">
        <f t="array" ref="G623">E623*F623</f>
        <v>544472</v>
      </c>
      <c r="H623" s="58" cm="1">
        <f t="array" ref="H623">YEAR(A623)</f>
        <v>2025</v>
      </c>
      <c r="I623" t="str" s="60" cm="1">
        <f t="array" ref="I623">"Q"&amp;ROUNDUP(MONTH(A623)/3,0)</f>
        <v>Q4</v>
      </c>
      <c r="J623" t="s" s="57">
        <v>60</v>
      </c>
    </row>
    <row r="624" ht="13.55" customHeight="1">
      <c r="A624" s="51">
        <v>45937</v>
      </c>
      <c r="B624" t="s" s="52">
        <v>22</v>
      </c>
      <c r="C624" t="s" s="52">
        <v>83</v>
      </c>
      <c r="D624" t="s" s="52">
        <v>16</v>
      </c>
      <c r="E624" s="53">
        <v>7</v>
      </c>
      <c r="F624" s="54">
        <v>69925</v>
      </c>
      <c r="G624" s="54" cm="1">
        <f t="array" ref="G624">E624*F624</f>
        <v>489475</v>
      </c>
      <c r="H624" s="53" cm="1">
        <f t="array" ref="H624">YEAR(A624)</f>
        <v>2025</v>
      </c>
      <c r="I624" t="str" s="55" cm="1">
        <f t="array" ref="I624">"Q"&amp;ROUNDUP(MONTH(A624)/3,0)</f>
        <v>Q4</v>
      </c>
      <c r="J624" t="s" s="52">
        <v>60</v>
      </c>
    </row>
    <row r="625" ht="13.55" customHeight="1">
      <c r="A625" s="56">
        <v>45938</v>
      </c>
      <c r="B625" t="s" s="57">
        <v>23</v>
      </c>
      <c r="C625" t="s" s="57">
        <v>80</v>
      </c>
      <c r="D625" t="s" s="57">
        <v>16</v>
      </c>
      <c r="E625" s="58">
        <v>9</v>
      </c>
      <c r="F625" s="59">
        <v>23689</v>
      </c>
      <c r="G625" s="59" cm="1">
        <f t="array" ref="G625">E625*F625</f>
        <v>213201</v>
      </c>
      <c r="H625" s="58" cm="1">
        <f t="array" ref="H625">YEAR(A625)</f>
        <v>2025</v>
      </c>
      <c r="I625" t="str" s="60" cm="1">
        <f t="array" ref="I625">"Q"&amp;ROUNDUP(MONTH(A625)/3,0)</f>
        <v>Q4</v>
      </c>
      <c r="J625" t="s" s="57">
        <v>60</v>
      </c>
    </row>
    <row r="626" ht="13.55" customHeight="1">
      <c r="A626" s="51">
        <v>45939</v>
      </c>
      <c r="B626" t="s" s="52">
        <v>20</v>
      </c>
      <c r="C626" t="s" s="52">
        <v>84</v>
      </c>
      <c r="D626" t="s" s="52">
        <v>16</v>
      </c>
      <c r="E626" s="53">
        <v>14</v>
      </c>
      <c r="F626" s="54">
        <v>61561</v>
      </c>
      <c r="G626" s="54" cm="1">
        <f t="array" ref="G626">E626*F626</f>
        <v>861854</v>
      </c>
      <c r="H626" s="53" cm="1">
        <f t="array" ref="H626">YEAR(A626)</f>
        <v>2025</v>
      </c>
      <c r="I626" t="str" s="55" cm="1">
        <f t="array" ref="I626">"Q"&amp;ROUNDUP(MONTH(A626)/3,0)</f>
        <v>Q4</v>
      </c>
      <c r="J626" t="s" s="52">
        <v>60</v>
      </c>
    </row>
    <row r="627" ht="13.55" customHeight="1">
      <c r="A627" s="56">
        <v>45939</v>
      </c>
      <c r="B627" t="s" s="57">
        <v>20</v>
      </c>
      <c r="C627" t="s" s="57">
        <v>83</v>
      </c>
      <c r="D627" t="s" s="57">
        <v>18</v>
      </c>
      <c r="E627" s="58">
        <v>3</v>
      </c>
      <c r="F627" s="59">
        <v>17855</v>
      </c>
      <c r="G627" s="59" cm="1">
        <f t="array" ref="G627">E627*F627</f>
        <v>53565</v>
      </c>
      <c r="H627" s="58" cm="1">
        <f t="array" ref="H627">YEAR(A627)</f>
        <v>2025</v>
      </c>
      <c r="I627" t="str" s="60" cm="1">
        <f t="array" ref="I627">"Q"&amp;ROUNDUP(MONTH(A627)/3,0)</f>
        <v>Q4</v>
      </c>
      <c r="J627" t="s" s="57">
        <v>60</v>
      </c>
    </row>
    <row r="628" ht="13.55" customHeight="1">
      <c r="A628" s="51">
        <v>45939</v>
      </c>
      <c r="B628" t="s" s="52">
        <v>23</v>
      </c>
      <c r="C628" t="s" s="52">
        <v>82</v>
      </c>
      <c r="D628" t="s" s="52">
        <v>15</v>
      </c>
      <c r="E628" s="53">
        <v>1</v>
      </c>
      <c r="F628" s="54">
        <v>74443</v>
      </c>
      <c r="G628" s="54" cm="1">
        <f t="array" ref="G628">E628*F628</f>
        <v>74443</v>
      </c>
      <c r="H628" s="53" cm="1">
        <f t="array" ref="H628">YEAR(A628)</f>
        <v>2025</v>
      </c>
      <c r="I628" t="str" s="55" cm="1">
        <f t="array" ref="I628">"Q"&amp;ROUNDUP(MONTH(A628)/3,0)</f>
        <v>Q4</v>
      </c>
      <c r="J628" t="s" s="52">
        <v>60</v>
      </c>
    </row>
    <row r="629" ht="13.55" customHeight="1">
      <c r="A629" s="56">
        <v>45940</v>
      </c>
      <c r="B629" t="s" s="57">
        <v>23</v>
      </c>
      <c r="C629" t="s" s="57">
        <v>78</v>
      </c>
      <c r="D629" t="s" s="57">
        <v>17</v>
      </c>
      <c r="E629" s="58">
        <v>3</v>
      </c>
      <c r="F629" s="59">
        <v>70774</v>
      </c>
      <c r="G629" s="59" cm="1">
        <f t="array" ref="G629">E629*F629</f>
        <v>212322</v>
      </c>
      <c r="H629" s="58" cm="1">
        <f t="array" ref="H629">YEAR(A629)</f>
        <v>2025</v>
      </c>
      <c r="I629" t="str" s="60" cm="1">
        <f t="array" ref="I629">"Q"&amp;ROUNDUP(MONTH(A629)/3,0)</f>
        <v>Q4</v>
      </c>
      <c r="J629" t="s" s="57">
        <v>60</v>
      </c>
    </row>
    <row r="630" ht="13.55" customHeight="1">
      <c r="A630" s="51">
        <v>45943</v>
      </c>
      <c r="B630" t="s" s="52">
        <v>20</v>
      </c>
      <c r="C630" t="s" s="52">
        <v>82</v>
      </c>
      <c r="D630" t="s" s="52">
        <v>15</v>
      </c>
      <c r="E630" s="53">
        <v>9</v>
      </c>
      <c r="F630" s="54">
        <v>67522</v>
      </c>
      <c r="G630" s="54" cm="1">
        <f t="array" ref="G630">E630*F630</f>
        <v>607698</v>
      </c>
      <c r="H630" s="53" cm="1">
        <f t="array" ref="H630">YEAR(A630)</f>
        <v>2025</v>
      </c>
      <c r="I630" t="str" s="55" cm="1">
        <f t="array" ref="I630">"Q"&amp;ROUNDUP(MONTH(A630)/3,0)</f>
        <v>Q4</v>
      </c>
      <c r="J630" t="s" s="52">
        <v>60</v>
      </c>
    </row>
    <row r="631" ht="13.55" customHeight="1">
      <c r="A631" s="56">
        <v>45944</v>
      </c>
      <c r="B631" t="s" s="57">
        <v>21</v>
      </c>
      <c r="C631" t="s" s="57">
        <v>80</v>
      </c>
      <c r="D631" t="s" s="57">
        <v>16</v>
      </c>
      <c r="E631" s="58">
        <v>15</v>
      </c>
      <c r="F631" s="59">
        <v>67901</v>
      </c>
      <c r="G631" s="59" cm="1">
        <f t="array" ref="G631">E631*F631</f>
        <v>1018515</v>
      </c>
      <c r="H631" s="58" cm="1">
        <f t="array" ref="H631">YEAR(A631)</f>
        <v>2025</v>
      </c>
      <c r="I631" t="str" s="60" cm="1">
        <f t="array" ref="I631">"Q"&amp;ROUNDUP(MONTH(A631)/3,0)</f>
        <v>Q4</v>
      </c>
      <c r="J631" t="s" s="57">
        <v>60</v>
      </c>
    </row>
    <row r="632" ht="13.55" customHeight="1">
      <c r="A632" s="51">
        <v>45944</v>
      </c>
      <c r="B632" t="s" s="52">
        <v>20</v>
      </c>
      <c r="C632" t="s" s="52">
        <v>83</v>
      </c>
      <c r="D632" t="s" s="52">
        <v>18</v>
      </c>
      <c r="E632" s="53">
        <v>5</v>
      </c>
      <c r="F632" s="54">
        <v>30464</v>
      </c>
      <c r="G632" s="54" cm="1">
        <f t="array" ref="G632">E632*F632</f>
        <v>152320</v>
      </c>
      <c r="H632" s="53" cm="1">
        <f t="array" ref="H632">YEAR(A632)</f>
        <v>2025</v>
      </c>
      <c r="I632" t="str" s="55" cm="1">
        <f t="array" ref="I632">"Q"&amp;ROUNDUP(MONTH(A632)/3,0)</f>
        <v>Q4</v>
      </c>
      <c r="J632" t="s" s="52">
        <v>60</v>
      </c>
    </row>
    <row r="633" ht="13.55" customHeight="1">
      <c r="A633" s="56">
        <v>45945</v>
      </c>
      <c r="B633" t="s" s="57">
        <v>23</v>
      </c>
      <c r="C633" t="s" s="57">
        <v>80</v>
      </c>
      <c r="D633" t="s" s="57">
        <v>17</v>
      </c>
      <c r="E633" s="58">
        <v>19</v>
      </c>
      <c r="F633" s="59">
        <v>69418</v>
      </c>
      <c r="G633" s="59" cm="1">
        <f t="array" ref="G633">E633*F633</f>
        <v>1318942</v>
      </c>
      <c r="H633" s="58" cm="1">
        <f t="array" ref="H633">YEAR(A633)</f>
        <v>2025</v>
      </c>
      <c r="I633" t="str" s="60" cm="1">
        <f t="array" ref="I633">"Q"&amp;ROUNDUP(MONTH(A633)/3,0)</f>
        <v>Q4</v>
      </c>
      <c r="J633" t="s" s="57">
        <v>60</v>
      </c>
    </row>
    <row r="634" ht="13.55" customHeight="1">
      <c r="A634" s="51">
        <v>45946</v>
      </c>
      <c r="B634" t="s" s="52">
        <v>21</v>
      </c>
      <c r="C634" t="s" s="52">
        <v>80</v>
      </c>
      <c r="D634" t="s" s="52">
        <v>17</v>
      </c>
      <c r="E634" s="53">
        <v>19</v>
      </c>
      <c r="F634" s="54">
        <v>32518</v>
      </c>
      <c r="G634" s="54" cm="1">
        <f t="array" ref="G634">E634*F634</f>
        <v>617842</v>
      </c>
      <c r="H634" s="53" cm="1">
        <f t="array" ref="H634">YEAR(A634)</f>
        <v>2025</v>
      </c>
      <c r="I634" t="str" s="55" cm="1">
        <f t="array" ref="I634">"Q"&amp;ROUNDUP(MONTH(A634)/3,0)</f>
        <v>Q4</v>
      </c>
      <c r="J634" t="s" s="52">
        <v>60</v>
      </c>
    </row>
    <row r="635" ht="13.55" customHeight="1">
      <c r="A635" s="56">
        <v>45947</v>
      </c>
      <c r="B635" t="s" s="57">
        <v>23</v>
      </c>
      <c r="C635" t="s" s="57">
        <v>78</v>
      </c>
      <c r="D635" t="s" s="57">
        <v>15</v>
      </c>
      <c r="E635" s="58">
        <v>15</v>
      </c>
      <c r="F635" s="59">
        <v>28569</v>
      </c>
      <c r="G635" s="59" cm="1">
        <f t="array" ref="G635">E635*F635</f>
        <v>428535</v>
      </c>
      <c r="H635" s="58" cm="1">
        <f t="array" ref="H635">YEAR(A635)</f>
        <v>2025</v>
      </c>
      <c r="I635" t="str" s="60" cm="1">
        <f t="array" ref="I635">"Q"&amp;ROUNDUP(MONTH(A635)/3,0)</f>
        <v>Q4</v>
      </c>
      <c r="J635" t="s" s="57">
        <v>60</v>
      </c>
    </row>
    <row r="636" ht="13.55" customHeight="1">
      <c r="A636" s="51">
        <v>45947</v>
      </c>
      <c r="B636" t="s" s="52">
        <v>20</v>
      </c>
      <c r="C636" t="s" s="52">
        <v>82</v>
      </c>
      <c r="D636" t="s" s="52">
        <v>15</v>
      </c>
      <c r="E636" s="53">
        <v>17</v>
      </c>
      <c r="F636" s="54">
        <v>56618</v>
      </c>
      <c r="G636" s="54" cm="1">
        <f t="array" ref="G636">E636*F636</f>
        <v>962506</v>
      </c>
      <c r="H636" s="53" cm="1">
        <f t="array" ref="H636">YEAR(A636)</f>
        <v>2025</v>
      </c>
      <c r="I636" t="str" s="55" cm="1">
        <f t="array" ref="I636">"Q"&amp;ROUNDUP(MONTH(A636)/3,0)</f>
        <v>Q4</v>
      </c>
      <c r="J636" t="s" s="52">
        <v>60</v>
      </c>
    </row>
    <row r="637" ht="13.55" customHeight="1">
      <c r="A637" s="56">
        <v>45947</v>
      </c>
      <c r="B637" t="s" s="57">
        <v>20</v>
      </c>
      <c r="C637" t="s" s="57">
        <v>84</v>
      </c>
      <c r="D637" t="s" s="57">
        <v>16</v>
      </c>
      <c r="E637" s="58">
        <v>9</v>
      </c>
      <c r="F637" s="59">
        <v>23263</v>
      </c>
      <c r="G637" s="59" cm="1">
        <f t="array" ref="G637">E637*F637</f>
        <v>209367</v>
      </c>
      <c r="H637" s="58" cm="1">
        <f t="array" ref="H637">YEAR(A637)</f>
        <v>2025</v>
      </c>
      <c r="I637" t="str" s="60" cm="1">
        <f t="array" ref="I637">"Q"&amp;ROUNDUP(MONTH(A637)/3,0)</f>
        <v>Q4</v>
      </c>
      <c r="J637" t="s" s="57">
        <v>60</v>
      </c>
    </row>
    <row r="638" ht="13.55" customHeight="1">
      <c r="A638" s="51">
        <v>45948</v>
      </c>
      <c r="B638" t="s" s="52">
        <v>21</v>
      </c>
      <c r="C638" t="s" s="52">
        <v>80</v>
      </c>
      <c r="D638" t="s" s="52">
        <v>15</v>
      </c>
      <c r="E638" s="53">
        <v>1</v>
      </c>
      <c r="F638" s="54">
        <v>60798</v>
      </c>
      <c r="G638" s="54" cm="1">
        <f t="array" ref="G638">E638*F638</f>
        <v>60798</v>
      </c>
      <c r="H638" s="53" cm="1">
        <f t="array" ref="H638">YEAR(A638)</f>
        <v>2025</v>
      </c>
      <c r="I638" t="str" s="55" cm="1">
        <f t="array" ref="I638">"Q"&amp;ROUNDUP(MONTH(A638)/3,0)</f>
        <v>Q4</v>
      </c>
      <c r="J638" t="s" s="52">
        <v>60</v>
      </c>
    </row>
    <row r="639" ht="13.55" customHeight="1">
      <c r="A639" s="56">
        <v>45948</v>
      </c>
      <c r="B639" t="s" s="57">
        <v>20</v>
      </c>
      <c r="C639" t="s" s="57">
        <v>78</v>
      </c>
      <c r="D639" t="s" s="57">
        <v>18</v>
      </c>
      <c r="E639" s="58">
        <v>13</v>
      </c>
      <c r="F639" s="59">
        <v>15335</v>
      </c>
      <c r="G639" s="59" cm="1">
        <f t="array" ref="G639">E639*F639</f>
        <v>199355</v>
      </c>
      <c r="H639" s="58" cm="1">
        <f t="array" ref="H639">YEAR(A639)</f>
        <v>2025</v>
      </c>
      <c r="I639" t="str" s="60" cm="1">
        <f t="array" ref="I639">"Q"&amp;ROUNDUP(MONTH(A639)/3,0)</f>
        <v>Q4</v>
      </c>
      <c r="J639" t="s" s="57">
        <v>60</v>
      </c>
    </row>
    <row r="640" ht="13.55" customHeight="1">
      <c r="A640" s="51">
        <v>45949</v>
      </c>
      <c r="B640" t="s" s="52">
        <v>20</v>
      </c>
      <c r="C640" t="s" s="52">
        <v>84</v>
      </c>
      <c r="D640" t="s" s="52">
        <v>16</v>
      </c>
      <c r="E640" s="53">
        <v>5</v>
      </c>
      <c r="F640" s="54">
        <v>11589</v>
      </c>
      <c r="G640" s="54" cm="1">
        <f t="array" ref="G640">E640*F640</f>
        <v>57945</v>
      </c>
      <c r="H640" s="53" cm="1">
        <f t="array" ref="H640">YEAR(A640)</f>
        <v>2025</v>
      </c>
      <c r="I640" t="str" s="55" cm="1">
        <f t="array" ref="I640">"Q"&amp;ROUNDUP(MONTH(A640)/3,0)</f>
        <v>Q4</v>
      </c>
      <c r="J640" t="s" s="52">
        <v>60</v>
      </c>
    </row>
    <row r="641" ht="13.55" customHeight="1">
      <c r="A641" s="56">
        <v>45950</v>
      </c>
      <c r="B641" t="s" s="57">
        <v>22</v>
      </c>
      <c r="C641" t="s" s="57">
        <v>81</v>
      </c>
      <c r="D641" t="s" s="57">
        <v>15</v>
      </c>
      <c r="E641" s="58">
        <v>13</v>
      </c>
      <c r="F641" s="59">
        <v>8373</v>
      </c>
      <c r="G641" s="59" cm="1">
        <f t="array" ref="G641">E641*F641</f>
        <v>108849</v>
      </c>
      <c r="H641" s="58" cm="1">
        <f t="array" ref="H641">YEAR(A641)</f>
        <v>2025</v>
      </c>
      <c r="I641" t="str" s="60" cm="1">
        <f t="array" ref="I641">"Q"&amp;ROUNDUP(MONTH(A641)/3,0)</f>
        <v>Q4</v>
      </c>
      <c r="J641" t="s" s="57">
        <v>60</v>
      </c>
    </row>
    <row r="642" ht="13.55" customHeight="1">
      <c r="A642" s="51">
        <v>45950</v>
      </c>
      <c r="B642" t="s" s="52">
        <v>22</v>
      </c>
      <c r="C642" t="s" s="52">
        <v>83</v>
      </c>
      <c r="D642" t="s" s="52">
        <v>17</v>
      </c>
      <c r="E642" s="53">
        <v>12</v>
      </c>
      <c r="F642" s="54">
        <v>54500</v>
      </c>
      <c r="G642" s="54" cm="1">
        <f t="array" ref="G642">E642*F642</f>
        <v>654000</v>
      </c>
      <c r="H642" s="53" cm="1">
        <f t="array" ref="H642">YEAR(A642)</f>
        <v>2025</v>
      </c>
      <c r="I642" t="str" s="55" cm="1">
        <f t="array" ref="I642">"Q"&amp;ROUNDUP(MONTH(A642)/3,0)</f>
        <v>Q4</v>
      </c>
      <c r="J642" t="s" s="52">
        <v>60</v>
      </c>
    </row>
    <row r="643" ht="13.55" customHeight="1">
      <c r="A643" s="56">
        <v>45950</v>
      </c>
      <c r="B643" t="s" s="57">
        <v>22</v>
      </c>
      <c r="C643" t="s" s="57">
        <v>82</v>
      </c>
      <c r="D643" t="s" s="57">
        <v>16</v>
      </c>
      <c r="E643" s="58">
        <v>4</v>
      </c>
      <c r="F643" s="59">
        <v>70206</v>
      </c>
      <c r="G643" s="59" cm="1">
        <f t="array" ref="G643">E643*F643</f>
        <v>280824</v>
      </c>
      <c r="H643" s="58" cm="1">
        <f t="array" ref="H643">YEAR(A643)</f>
        <v>2025</v>
      </c>
      <c r="I643" t="str" s="60" cm="1">
        <f t="array" ref="I643">"Q"&amp;ROUNDUP(MONTH(A643)/3,0)</f>
        <v>Q4</v>
      </c>
      <c r="J643" t="s" s="57">
        <v>60</v>
      </c>
    </row>
    <row r="644" ht="13.55" customHeight="1">
      <c r="A644" s="51">
        <v>45950</v>
      </c>
      <c r="B644" t="s" s="52">
        <v>21</v>
      </c>
      <c r="C644" t="s" s="52">
        <v>81</v>
      </c>
      <c r="D644" t="s" s="52">
        <v>15</v>
      </c>
      <c r="E644" s="53">
        <v>16</v>
      </c>
      <c r="F644" s="54">
        <v>11859</v>
      </c>
      <c r="G644" s="54" cm="1">
        <f t="array" ref="G644">E644*F644</f>
        <v>189744</v>
      </c>
      <c r="H644" s="53" cm="1">
        <f t="array" ref="H644">YEAR(A644)</f>
        <v>2025</v>
      </c>
      <c r="I644" t="str" s="55" cm="1">
        <f t="array" ref="I644">"Q"&amp;ROUNDUP(MONTH(A644)/3,0)</f>
        <v>Q4</v>
      </c>
      <c r="J644" t="s" s="52">
        <v>60</v>
      </c>
    </row>
    <row r="645" ht="13.55" customHeight="1">
      <c r="A645" s="56">
        <v>45950</v>
      </c>
      <c r="B645" t="s" s="57">
        <v>21</v>
      </c>
      <c r="C645" t="s" s="57">
        <v>83</v>
      </c>
      <c r="D645" t="s" s="57">
        <v>16</v>
      </c>
      <c r="E645" s="58">
        <v>8</v>
      </c>
      <c r="F645" s="59">
        <v>35143</v>
      </c>
      <c r="G645" s="59" cm="1">
        <f t="array" ref="G645">E645*F645</f>
        <v>281144</v>
      </c>
      <c r="H645" s="58" cm="1">
        <f t="array" ref="H645">YEAR(A645)</f>
        <v>2025</v>
      </c>
      <c r="I645" t="str" s="60" cm="1">
        <f t="array" ref="I645">"Q"&amp;ROUNDUP(MONTH(A645)/3,0)</f>
        <v>Q4</v>
      </c>
      <c r="J645" t="s" s="57">
        <v>60</v>
      </c>
    </row>
    <row r="646" ht="13.55" customHeight="1">
      <c r="A646" s="51">
        <v>45951</v>
      </c>
      <c r="B646" t="s" s="52">
        <v>22</v>
      </c>
      <c r="C646" t="s" s="52">
        <v>78</v>
      </c>
      <c r="D646" t="s" s="52">
        <v>16</v>
      </c>
      <c r="E646" s="53">
        <v>4</v>
      </c>
      <c r="F646" s="54">
        <v>44454</v>
      </c>
      <c r="G646" s="54" cm="1">
        <f t="array" ref="G646">E646*F646</f>
        <v>177816</v>
      </c>
      <c r="H646" s="53" cm="1">
        <f t="array" ref="H646">YEAR(A646)</f>
        <v>2025</v>
      </c>
      <c r="I646" t="str" s="55" cm="1">
        <f t="array" ref="I646">"Q"&amp;ROUNDUP(MONTH(A646)/3,0)</f>
        <v>Q4</v>
      </c>
      <c r="J646" t="s" s="52">
        <v>60</v>
      </c>
    </row>
    <row r="647" ht="13.55" customHeight="1">
      <c r="A647" s="56">
        <v>45951</v>
      </c>
      <c r="B647" t="s" s="57">
        <v>22</v>
      </c>
      <c r="C647" t="s" s="57">
        <v>78</v>
      </c>
      <c r="D647" t="s" s="57">
        <v>16</v>
      </c>
      <c r="E647" s="58">
        <v>10</v>
      </c>
      <c r="F647" s="59">
        <v>73842</v>
      </c>
      <c r="G647" s="59" cm="1">
        <f t="array" ref="G647">E647*F647</f>
        <v>738420</v>
      </c>
      <c r="H647" s="58" cm="1">
        <f t="array" ref="H647">YEAR(A647)</f>
        <v>2025</v>
      </c>
      <c r="I647" t="str" s="60" cm="1">
        <f t="array" ref="I647">"Q"&amp;ROUNDUP(MONTH(A647)/3,0)</f>
        <v>Q4</v>
      </c>
      <c r="J647" t="s" s="57">
        <v>60</v>
      </c>
    </row>
    <row r="648" ht="13.55" customHeight="1">
      <c r="A648" s="51">
        <v>45953</v>
      </c>
      <c r="B648" t="s" s="52">
        <v>20</v>
      </c>
      <c r="C648" t="s" s="52">
        <v>81</v>
      </c>
      <c r="D648" t="s" s="52">
        <v>18</v>
      </c>
      <c r="E648" s="53">
        <v>9</v>
      </c>
      <c r="F648" s="54">
        <v>60633</v>
      </c>
      <c r="G648" s="54" cm="1">
        <f t="array" ref="G648">E648*F648</f>
        <v>545697</v>
      </c>
      <c r="H648" s="53" cm="1">
        <f t="array" ref="H648">YEAR(A648)</f>
        <v>2025</v>
      </c>
      <c r="I648" t="str" s="55" cm="1">
        <f t="array" ref="I648">"Q"&amp;ROUNDUP(MONTH(A648)/3,0)</f>
        <v>Q4</v>
      </c>
      <c r="J648" t="s" s="52">
        <v>60</v>
      </c>
    </row>
    <row r="649" ht="13.55" customHeight="1">
      <c r="A649" s="56">
        <v>45954</v>
      </c>
      <c r="B649" t="s" s="57">
        <v>20</v>
      </c>
      <c r="C649" t="s" s="57">
        <v>80</v>
      </c>
      <c r="D649" t="s" s="57">
        <v>15</v>
      </c>
      <c r="E649" s="58">
        <v>17</v>
      </c>
      <c r="F649" s="59">
        <v>63160</v>
      </c>
      <c r="G649" s="59" cm="1">
        <f t="array" ref="G649">E649*F649</f>
        <v>1073720</v>
      </c>
      <c r="H649" s="58" cm="1">
        <f t="array" ref="H649">YEAR(A649)</f>
        <v>2025</v>
      </c>
      <c r="I649" t="str" s="60" cm="1">
        <f t="array" ref="I649">"Q"&amp;ROUNDUP(MONTH(A649)/3,0)</f>
        <v>Q4</v>
      </c>
      <c r="J649" t="s" s="57">
        <v>60</v>
      </c>
    </row>
    <row r="650" ht="13.55" customHeight="1">
      <c r="A650" s="51">
        <v>45954</v>
      </c>
      <c r="B650" t="s" s="52">
        <v>20</v>
      </c>
      <c r="C650" t="s" s="52">
        <v>83</v>
      </c>
      <c r="D650" t="s" s="52">
        <v>16</v>
      </c>
      <c r="E650" s="53">
        <v>8</v>
      </c>
      <c r="F650" s="54">
        <v>64821</v>
      </c>
      <c r="G650" s="54" cm="1">
        <f t="array" ref="G650">E650*F650</f>
        <v>518568</v>
      </c>
      <c r="H650" s="53" cm="1">
        <f t="array" ref="H650">YEAR(A650)</f>
        <v>2025</v>
      </c>
      <c r="I650" t="str" s="55" cm="1">
        <f t="array" ref="I650">"Q"&amp;ROUNDUP(MONTH(A650)/3,0)</f>
        <v>Q4</v>
      </c>
      <c r="J650" t="s" s="52">
        <v>60</v>
      </c>
    </row>
    <row r="651" ht="13.55" customHeight="1">
      <c r="A651" s="56">
        <v>45955</v>
      </c>
      <c r="B651" t="s" s="57">
        <v>21</v>
      </c>
      <c r="C651" t="s" s="57">
        <v>83</v>
      </c>
      <c r="D651" t="s" s="57">
        <v>18</v>
      </c>
      <c r="E651" s="58">
        <v>13</v>
      </c>
      <c r="F651" s="59">
        <v>5336</v>
      </c>
      <c r="G651" s="59" cm="1">
        <f t="array" ref="G651">E651*F651</f>
        <v>69368</v>
      </c>
      <c r="H651" s="58" cm="1">
        <f t="array" ref="H651">YEAR(A651)</f>
        <v>2025</v>
      </c>
      <c r="I651" t="str" s="60" cm="1">
        <f t="array" ref="I651">"Q"&amp;ROUNDUP(MONTH(A651)/3,0)</f>
        <v>Q4</v>
      </c>
      <c r="J651" t="s" s="57">
        <v>60</v>
      </c>
    </row>
    <row r="652" ht="13.55" customHeight="1">
      <c r="A652" s="51">
        <v>45955</v>
      </c>
      <c r="B652" t="s" s="52">
        <v>21</v>
      </c>
      <c r="C652" t="s" s="52">
        <v>80</v>
      </c>
      <c r="D652" t="s" s="52">
        <v>15</v>
      </c>
      <c r="E652" s="53">
        <v>2</v>
      </c>
      <c r="F652" s="54">
        <v>28383</v>
      </c>
      <c r="G652" s="54" cm="1">
        <f t="array" ref="G652">E652*F652</f>
        <v>56766</v>
      </c>
      <c r="H652" s="53" cm="1">
        <f t="array" ref="H652">YEAR(A652)</f>
        <v>2025</v>
      </c>
      <c r="I652" t="str" s="55" cm="1">
        <f t="array" ref="I652">"Q"&amp;ROUNDUP(MONTH(A652)/3,0)</f>
        <v>Q4</v>
      </c>
      <c r="J652" t="s" s="52">
        <v>60</v>
      </c>
    </row>
    <row r="653" ht="13.55" customHeight="1">
      <c r="A653" s="56">
        <v>45955</v>
      </c>
      <c r="B653" t="s" s="57">
        <v>21</v>
      </c>
      <c r="C653" t="s" s="57">
        <v>78</v>
      </c>
      <c r="D653" t="s" s="57">
        <v>18</v>
      </c>
      <c r="E653" s="58">
        <v>16</v>
      </c>
      <c r="F653" s="59">
        <v>76696</v>
      </c>
      <c r="G653" s="59" cm="1">
        <f t="array" ref="G653">E653*F653</f>
        <v>1227136</v>
      </c>
      <c r="H653" s="58" cm="1">
        <f t="array" ref="H653">YEAR(A653)</f>
        <v>2025</v>
      </c>
      <c r="I653" t="str" s="60" cm="1">
        <f t="array" ref="I653">"Q"&amp;ROUNDUP(MONTH(A653)/3,0)</f>
        <v>Q4</v>
      </c>
      <c r="J653" t="s" s="57">
        <v>60</v>
      </c>
    </row>
    <row r="654" ht="13.55" customHeight="1">
      <c r="A654" s="51">
        <v>45955</v>
      </c>
      <c r="B654" t="s" s="52">
        <v>22</v>
      </c>
      <c r="C654" t="s" s="52">
        <v>84</v>
      </c>
      <c r="D654" t="s" s="52">
        <v>18</v>
      </c>
      <c r="E654" s="53">
        <v>17</v>
      </c>
      <c r="F654" s="54">
        <v>50270</v>
      </c>
      <c r="G654" s="54" cm="1">
        <f t="array" ref="G654">E654*F654</f>
        <v>854590</v>
      </c>
      <c r="H654" s="53" cm="1">
        <f t="array" ref="H654">YEAR(A654)</f>
        <v>2025</v>
      </c>
      <c r="I654" t="str" s="55" cm="1">
        <f t="array" ref="I654">"Q"&amp;ROUNDUP(MONTH(A654)/3,0)</f>
        <v>Q4</v>
      </c>
      <c r="J654" t="s" s="52">
        <v>60</v>
      </c>
    </row>
    <row r="655" ht="13.55" customHeight="1">
      <c r="A655" s="56">
        <v>45956</v>
      </c>
      <c r="B655" t="s" s="57">
        <v>21</v>
      </c>
      <c r="C655" t="s" s="57">
        <v>81</v>
      </c>
      <c r="D655" t="s" s="57">
        <v>15</v>
      </c>
      <c r="E655" s="58">
        <v>5</v>
      </c>
      <c r="F655" s="59">
        <v>10750</v>
      </c>
      <c r="G655" s="59" cm="1">
        <f t="array" ref="G655">E655*F655</f>
        <v>53750</v>
      </c>
      <c r="H655" s="58" cm="1">
        <f t="array" ref="H655">YEAR(A655)</f>
        <v>2025</v>
      </c>
      <c r="I655" t="str" s="60" cm="1">
        <f t="array" ref="I655">"Q"&amp;ROUNDUP(MONTH(A655)/3,0)</f>
        <v>Q4</v>
      </c>
      <c r="J655" t="s" s="57">
        <v>60</v>
      </c>
    </row>
    <row r="656" ht="13.55" customHeight="1">
      <c r="A656" s="51">
        <v>45959</v>
      </c>
      <c r="B656" t="s" s="52">
        <v>22</v>
      </c>
      <c r="C656" t="s" s="52">
        <v>78</v>
      </c>
      <c r="D656" t="s" s="52">
        <v>17</v>
      </c>
      <c r="E656" s="53">
        <v>18</v>
      </c>
      <c r="F656" s="54">
        <v>42663</v>
      </c>
      <c r="G656" s="54" cm="1">
        <f t="array" ref="G656">E656*F656</f>
        <v>767934</v>
      </c>
      <c r="H656" s="53" cm="1">
        <f t="array" ref="H656">YEAR(A656)</f>
        <v>2025</v>
      </c>
      <c r="I656" t="str" s="55" cm="1">
        <f t="array" ref="I656">"Q"&amp;ROUNDUP(MONTH(A656)/3,0)</f>
        <v>Q4</v>
      </c>
      <c r="J656" t="s" s="52">
        <v>60</v>
      </c>
    </row>
    <row r="657" ht="13.55" customHeight="1">
      <c r="A657" s="56">
        <v>45961</v>
      </c>
      <c r="B657" t="s" s="57">
        <v>21</v>
      </c>
      <c r="C657" t="s" s="57">
        <v>81</v>
      </c>
      <c r="D657" t="s" s="57">
        <v>18</v>
      </c>
      <c r="E657" s="58">
        <v>1</v>
      </c>
      <c r="F657" s="59">
        <v>19908</v>
      </c>
      <c r="G657" s="59" cm="1">
        <f t="array" ref="G657">E657*F657</f>
        <v>19908</v>
      </c>
      <c r="H657" s="58" cm="1">
        <f t="array" ref="H657">YEAR(A657)</f>
        <v>2025</v>
      </c>
      <c r="I657" t="str" s="60" cm="1">
        <f t="array" ref="I657">"Q"&amp;ROUNDUP(MONTH(A657)/3,0)</f>
        <v>Q4</v>
      </c>
      <c r="J657" t="s" s="57">
        <v>60</v>
      </c>
    </row>
    <row r="658" ht="13.55" customHeight="1">
      <c r="A658" s="51">
        <v>45961</v>
      </c>
      <c r="B658" t="s" s="52">
        <v>21</v>
      </c>
      <c r="C658" t="s" s="52">
        <v>81</v>
      </c>
      <c r="D658" t="s" s="52">
        <v>15</v>
      </c>
      <c r="E658" s="53">
        <v>4</v>
      </c>
      <c r="F658" s="54">
        <v>50066</v>
      </c>
      <c r="G658" s="54" cm="1">
        <f t="array" ref="G658">E658*F658</f>
        <v>200264</v>
      </c>
      <c r="H658" s="53" cm="1">
        <f t="array" ref="H658">YEAR(A658)</f>
        <v>2025</v>
      </c>
      <c r="I658" t="str" s="55" cm="1">
        <f t="array" ref="I658">"Q"&amp;ROUNDUP(MONTH(A658)/3,0)</f>
        <v>Q4</v>
      </c>
      <c r="J658" t="s" s="52">
        <v>60</v>
      </c>
    </row>
    <row r="659" ht="13.55" customHeight="1">
      <c r="A659" s="56">
        <v>45963</v>
      </c>
      <c r="B659" t="s" s="57">
        <v>20</v>
      </c>
      <c r="C659" t="s" s="57">
        <v>80</v>
      </c>
      <c r="D659" t="s" s="57">
        <v>15</v>
      </c>
      <c r="E659" s="58">
        <v>19</v>
      </c>
      <c r="F659" s="59">
        <v>28185</v>
      </c>
      <c r="G659" s="59" cm="1">
        <f t="array" ref="G659">E659*F659</f>
        <v>535515</v>
      </c>
      <c r="H659" s="58" cm="1">
        <f t="array" ref="H659">YEAR(A659)</f>
        <v>2025</v>
      </c>
      <c r="I659" t="str" s="60" cm="1">
        <f t="array" ref="I659">"Q"&amp;ROUNDUP(MONTH(A659)/3,0)</f>
        <v>Q4</v>
      </c>
      <c r="J659" t="s" s="57">
        <v>61</v>
      </c>
    </row>
    <row r="660" ht="13.55" customHeight="1">
      <c r="A660" s="51">
        <v>45963</v>
      </c>
      <c r="B660" t="s" s="52">
        <v>20</v>
      </c>
      <c r="C660" t="s" s="52">
        <v>84</v>
      </c>
      <c r="D660" t="s" s="52">
        <v>16</v>
      </c>
      <c r="E660" s="53">
        <v>2</v>
      </c>
      <c r="F660" s="54">
        <v>20810</v>
      </c>
      <c r="G660" s="54" cm="1">
        <f t="array" ref="G660">E660*F660</f>
        <v>41620</v>
      </c>
      <c r="H660" s="53" cm="1">
        <f t="array" ref="H660">YEAR(A660)</f>
        <v>2025</v>
      </c>
      <c r="I660" t="str" s="55" cm="1">
        <f t="array" ref="I660">"Q"&amp;ROUNDUP(MONTH(A660)/3,0)</f>
        <v>Q4</v>
      </c>
      <c r="J660" t="s" s="52">
        <v>61</v>
      </c>
    </row>
    <row r="661" ht="13.55" customHeight="1">
      <c r="A661" s="56">
        <v>45963</v>
      </c>
      <c r="B661" t="s" s="57">
        <v>21</v>
      </c>
      <c r="C661" t="s" s="57">
        <v>82</v>
      </c>
      <c r="D661" t="s" s="57">
        <v>16</v>
      </c>
      <c r="E661" s="58">
        <v>17</v>
      </c>
      <c r="F661" s="59">
        <v>7462</v>
      </c>
      <c r="G661" s="59" cm="1">
        <f t="array" ref="G661">E661*F661</f>
        <v>126854</v>
      </c>
      <c r="H661" s="58" cm="1">
        <f t="array" ref="H661">YEAR(A661)</f>
        <v>2025</v>
      </c>
      <c r="I661" t="str" s="60" cm="1">
        <f t="array" ref="I661">"Q"&amp;ROUNDUP(MONTH(A661)/3,0)</f>
        <v>Q4</v>
      </c>
      <c r="J661" t="s" s="57">
        <v>61</v>
      </c>
    </row>
    <row r="662" ht="13.55" customHeight="1">
      <c r="A662" s="51">
        <v>45964</v>
      </c>
      <c r="B662" t="s" s="52">
        <v>21</v>
      </c>
      <c r="C662" t="s" s="52">
        <v>80</v>
      </c>
      <c r="D662" t="s" s="52">
        <v>16</v>
      </c>
      <c r="E662" s="53">
        <v>15</v>
      </c>
      <c r="F662" s="54">
        <v>54522</v>
      </c>
      <c r="G662" s="54" cm="1">
        <f t="array" ref="G662">E662*F662</f>
        <v>817830</v>
      </c>
      <c r="H662" s="53" cm="1">
        <f t="array" ref="H662">YEAR(A662)</f>
        <v>2025</v>
      </c>
      <c r="I662" t="str" s="55" cm="1">
        <f t="array" ref="I662">"Q"&amp;ROUNDUP(MONTH(A662)/3,0)</f>
        <v>Q4</v>
      </c>
      <c r="J662" t="s" s="52">
        <v>61</v>
      </c>
    </row>
    <row r="663" ht="13.55" customHeight="1">
      <c r="A663" s="56">
        <v>45966</v>
      </c>
      <c r="B663" t="s" s="57">
        <v>22</v>
      </c>
      <c r="C663" t="s" s="57">
        <v>84</v>
      </c>
      <c r="D663" t="s" s="57">
        <v>15</v>
      </c>
      <c r="E663" s="58">
        <v>14</v>
      </c>
      <c r="F663" s="59">
        <v>43506</v>
      </c>
      <c r="G663" s="59" cm="1">
        <f t="array" ref="G663">E663*F663</f>
        <v>609084</v>
      </c>
      <c r="H663" s="58" cm="1">
        <f t="array" ref="H663">YEAR(A663)</f>
        <v>2025</v>
      </c>
      <c r="I663" t="str" s="60" cm="1">
        <f t="array" ref="I663">"Q"&amp;ROUNDUP(MONTH(A663)/3,0)</f>
        <v>Q4</v>
      </c>
      <c r="J663" t="s" s="57">
        <v>61</v>
      </c>
    </row>
    <row r="664" ht="13.55" customHeight="1">
      <c r="A664" s="51">
        <v>45966</v>
      </c>
      <c r="B664" t="s" s="52">
        <v>23</v>
      </c>
      <c r="C664" t="s" s="52">
        <v>82</v>
      </c>
      <c r="D664" t="s" s="52">
        <v>16</v>
      </c>
      <c r="E664" s="53">
        <v>4</v>
      </c>
      <c r="F664" s="54">
        <v>74504</v>
      </c>
      <c r="G664" s="54" cm="1">
        <f t="array" ref="G664">E664*F664</f>
        <v>298016</v>
      </c>
      <c r="H664" s="53" cm="1">
        <f t="array" ref="H664">YEAR(A664)</f>
        <v>2025</v>
      </c>
      <c r="I664" t="str" s="55" cm="1">
        <f t="array" ref="I664">"Q"&amp;ROUNDUP(MONTH(A664)/3,0)</f>
        <v>Q4</v>
      </c>
      <c r="J664" t="s" s="52">
        <v>61</v>
      </c>
    </row>
    <row r="665" ht="13.55" customHeight="1">
      <c r="A665" s="56">
        <v>45967</v>
      </c>
      <c r="B665" t="s" s="57">
        <v>21</v>
      </c>
      <c r="C665" t="s" s="57">
        <v>78</v>
      </c>
      <c r="D665" t="s" s="57">
        <v>17</v>
      </c>
      <c r="E665" s="58">
        <v>3</v>
      </c>
      <c r="F665" s="59">
        <v>33810</v>
      </c>
      <c r="G665" s="59" cm="1">
        <f t="array" ref="G665">E665*F665</f>
        <v>101430</v>
      </c>
      <c r="H665" s="58" cm="1">
        <f t="array" ref="H665">YEAR(A665)</f>
        <v>2025</v>
      </c>
      <c r="I665" t="str" s="60" cm="1">
        <f t="array" ref="I665">"Q"&amp;ROUNDUP(MONTH(A665)/3,0)</f>
        <v>Q4</v>
      </c>
      <c r="J665" t="s" s="57">
        <v>61</v>
      </c>
    </row>
    <row r="666" ht="13.55" customHeight="1">
      <c r="A666" s="51">
        <v>45967</v>
      </c>
      <c r="B666" t="s" s="52">
        <v>22</v>
      </c>
      <c r="C666" t="s" s="52">
        <v>80</v>
      </c>
      <c r="D666" t="s" s="52">
        <v>16</v>
      </c>
      <c r="E666" s="53">
        <v>8</v>
      </c>
      <c r="F666" s="54">
        <v>34134</v>
      </c>
      <c r="G666" s="54" cm="1">
        <f t="array" ref="G666">E666*F666</f>
        <v>273072</v>
      </c>
      <c r="H666" s="53" cm="1">
        <f t="array" ref="H666">YEAR(A666)</f>
        <v>2025</v>
      </c>
      <c r="I666" t="str" s="55" cm="1">
        <f t="array" ref="I666">"Q"&amp;ROUNDUP(MONTH(A666)/3,0)</f>
        <v>Q4</v>
      </c>
      <c r="J666" t="s" s="52">
        <v>61</v>
      </c>
    </row>
    <row r="667" ht="13.55" customHeight="1">
      <c r="A667" s="56">
        <v>45967</v>
      </c>
      <c r="B667" t="s" s="57">
        <v>22</v>
      </c>
      <c r="C667" t="s" s="57">
        <v>82</v>
      </c>
      <c r="D667" t="s" s="57">
        <v>18</v>
      </c>
      <c r="E667" s="58">
        <v>9</v>
      </c>
      <c r="F667" s="59">
        <v>75021</v>
      </c>
      <c r="G667" s="59" cm="1">
        <f t="array" ref="G667">E667*F667</f>
        <v>675189</v>
      </c>
      <c r="H667" s="58" cm="1">
        <f t="array" ref="H667">YEAR(A667)</f>
        <v>2025</v>
      </c>
      <c r="I667" t="str" s="60" cm="1">
        <f t="array" ref="I667">"Q"&amp;ROUNDUP(MONTH(A667)/3,0)</f>
        <v>Q4</v>
      </c>
      <c r="J667" t="s" s="57">
        <v>61</v>
      </c>
    </row>
    <row r="668" ht="13.55" customHeight="1">
      <c r="A668" s="51">
        <v>45968</v>
      </c>
      <c r="B668" t="s" s="52">
        <v>22</v>
      </c>
      <c r="C668" t="s" s="52">
        <v>82</v>
      </c>
      <c r="D668" t="s" s="52">
        <v>18</v>
      </c>
      <c r="E668" s="53">
        <v>12</v>
      </c>
      <c r="F668" s="54">
        <v>15799</v>
      </c>
      <c r="G668" s="54" cm="1">
        <f t="array" ref="G668">E668*F668</f>
        <v>189588</v>
      </c>
      <c r="H668" s="53" cm="1">
        <f t="array" ref="H668">YEAR(A668)</f>
        <v>2025</v>
      </c>
      <c r="I668" t="str" s="55" cm="1">
        <f t="array" ref="I668">"Q"&amp;ROUNDUP(MONTH(A668)/3,0)</f>
        <v>Q4</v>
      </c>
      <c r="J668" t="s" s="52">
        <v>61</v>
      </c>
    </row>
    <row r="669" ht="13.55" customHeight="1">
      <c r="A669" s="56">
        <v>45972</v>
      </c>
      <c r="B669" t="s" s="57">
        <v>21</v>
      </c>
      <c r="C669" t="s" s="57">
        <v>80</v>
      </c>
      <c r="D669" t="s" s="57">
        <v>17</v>
      </c>
      <c r="E669" s="58">
        <v>5</v>
      </c>
      <c r="F669" s="59">
        <v>21544</v>
      </c>
      <c r="G669" s="59" cm="1">
        <f t="array" ref="G669">E669*F669</f>
        <v>107720</v>
      </c>
      <c r="H669" s="58" cm="1">
        <f t="array" ref="H669">YEAR(A669)</f>
        <v>2025</v>
      </c>
      <c r="I669" t="str" s="60" cm="1">
        <f t="array" ref="I669">"Q"&amp;ROUNDUP(MONTH(A669)/3,0)</f>
        <v>Q4</v>
      </c>
      <c r="J669" t="s" s="57">
        <v>61</v>
      </c>
    </row>
    <row r="670" ht="13.55" customHeight="1">
      <c r="A670" s="51">
        <v>45973</v>
      </c>
      <c r="B670" t="s" s="52">
        <v>20</v>
      </c>
      <c r="C670" t="s" s="52">
        <v>78</v>
      </c>
      <c r="D670" t="s" s="52">
        <v>16</v>
      </c>
      <c r="E670" s="53">
        <v>19</v>
      </c>
      <c r="F670" s="54">
        <v>72054</v>
      </c>
      <c r="G670" s="54" cm="1">
        <f t="array" ref="G670">E670*F670</f>
        <v>1369026</v>
      </c>
      <c r="H670" s="53" cm="1">
        <f t="array" ref="H670">YEAR(A670)</f>
        <v>2025</v>
      </c>
      <c r="I670" t="str" s="55" cm="1">
        <f t="array" ref="I670">"Q"&amp;ROUNDUP(MONTH(A670)/3,0)</f>
        <v>Q4</v>
      </c>
      <c r="J670" t="s" s="52">
        <v>61</v>
      </c>
    </row>
    <row r="671" ht="13.55" customHeight="1">
      <c r="A671" s="56">
        <v>45973</v>
      </c>
      <c r="B671" t="s" s="57">
        <v>22</v>
      </c>
      <c r="C671" t="s" s="57">
        <v>83</v>
      </c>
      <c r="D671" t="s" s="57">
        <v>16</v>
      </c>
      <c r="E671" s="58">
        <v>18</v>
      </c>
      <c r="F671" s="59">
        <v>24173</v>
      </c>
      <c r="G671" s="59" cm="1">
        <f t="array" ref="G671">E671*F671</f>
        <v>435114</v>
      </c>
      <c r="H671" s="58" cm="1">
        <f t="array" ref="H671">YEAR(A671)</f>
        <v>2025</v>
      </c>
      <c r="I671" t="str" s="60" cm="1">
        <f t="array" ref="I671">"Q"&amp;ROUNDUP(MONTH(A671)/3,0)</f>
        <v>Q4</v>
      </c>
      <c r="J671" t="s" s="57">
        <v>61</v>
      </c>
    </row>
    <row r="672" ht="13.55" customHeight="1">
      <c r="A672" s="51">
        <v>45973</v>
      </c>
      <c r="B672" t="s" s="52">
        <v>23</v>
      </c>
      <c r="C672" t="s" s="52">
        <v>78</v>
      </c>
      <c r="D672" t="s" s="52">
        <v>18</v>
      </c>
      <c r="E672" s="53">
        <v>5</v>
      </c>
      <c r="F672" s="54">
        <v>50619</v>
      </c>
      <c r="G672" s="54" cm="1">
        <f t="array" ref="G672">E672*F672</f>
        <v>253095</v>
      </c>
      <c r="H672" s="53" cm="1">
        <f t="array" ref="H672">YEAR(A672)</f>
        <v>2025</v>
      </c>
      <c r="I672" t="str" s="55" cm="1">
        <f t="array" ref="I672">"Q"&amp;ROUNDUP(MONTH(A672)/3,0)</f>
        <v>Q4</v>
      </c>
      <c r="J672" t="s" s="52">
        <v>61</v>
      </c>
    </row>
    <row r="673" ht="13.55" customHeight="1">
      <c r="A673" s="56">
        <v>45973</v>
      </c>
      <c r="B673" t="s" s="57">
        <v>21</v>
      </c>
      <c r="C673" t="s" s="57">
        <v>80</v>
      </c>
      <c r="D673" t="s" s="57">
        <v>17</v>
      </c>
      <c r="E673" s="58">
        <v>14</v>
      </c>
      <c r="F673" s="59">
        <v>19955</v>
      </c>
      <c r="G673" s="59" cm="1">
        <f t="array" ref="G673">E673*F673</f>
        <v>279370</v>
      </c>
      <c r="H673" s="58" cm="1">
        <f t="array" ref="H673">YEAR(A673)</f>
        <v>2025</v>
      </c>
      <c r="I673" t="str" s="60" cm="1">
        <f t="array" ref="I673">"Q"&amp;ROUNDUP(MONTH(A673)/3,0)</f>
        <v>Q4</v>
      </c>
      <c r="J673" t="s" s="57">
        <v>61</v>
      </c>
    </row>
    <row r="674" ht="13.55" customHeight="1">
      <c r="A674" s="51">
        <v>45975</v>
      </c>
      <c r="B674" t="s" s="52">
        <v>21</v>
      </c>
      <c r="C674" t="s" s="52">
        <v>78</v>
      </c>
      <c r="D674" t="s" s="52">
        <v>16</v>
      </c>
      <c r="E674" s="53">
        <v>11</v>
      </c>
      <c r="F674" s="54">
        <v>42158</v>
      </c>
      <c r="G674" s="54" cm="1">
        <f t="array" ref="G674">E674*F674</f>
        <v>463738</v>
      </c>
      <c r="H674" s="53" cm="1">
        <f t="array" ref="H674">YEAR(A674)</f>
        <v>2025</v>
      </c>
      <c r="I674" t="str" s="55" cm="1">
        <f t="array" ref="I674">"Q"&amp;ROUNDUP(MONTH(A674)/3,0)</f>
        <v>Q4</v>
      </c>
      <c r="J674" t="s" s="52">
        <v>61</v>
      </c>
    </row>
    <row r="675" ht="13.55" customHeight="1">
      <c r="A675" s="56">
        <v>45975</v>
      </c>
      <c r="B675" t="s" s="57">
        <v>20</v>
      </c>
      <c r="C675" t="s" s="57">
        <v>81</v>
      </c>
      <c r="D675" t="s" s="57">
        <v>17</v>
      </c>
      <c r="E675" s="58">
        <v>11</v>
      </c>
      <c r="F675" s="59">
        <v>39872</v>
      </c>
      <c r="G675" s="59" cm="1">
        <f t="array" ref="G675">E675*F675</f>
        <v>438592</v>
      </c>
      <c r="H675" s="58" cm="1">
        <f t="array" ref="H675">YEAR(A675)</f>
        <v>2025</v>
      </c>
      <c r="I675" t="str" s="60" cm="1">
        <f t="array" ref="I675">"Q"&amp;ROUNDUP(MONTH(A675)/3,0)</f>
        <v>Q4</v>
      </c>
      <c r="J675" t="s" s="57">
        <v>61</v>
      </c>
    </row>
    <row r="676" ht="13.55" customHeight="1">
      <c r="A676" s="51">
        <v>45975</v>
      </c>
      <c r="B676" t="s" s="52">
        <v>20</v>
      </c>
      <c r="C676" t="s" s="52">
        <v>81</v>
      </c>
      <c r="D676" t="s" s="52">
        <v>15</v>
      </c>
      <c r="E676" s="53">
        <v>19</v>
      </c>
      <c r="F676" s="54">
        <v>18652</v>
      </c>
      <c r="G676" s="54" cm="1">
        <f t="array" ref="G676">E676*F676</f>
        <v>354388</v>
      </c>
      <c r="H676" s="53" cm="1">
        <f t="array" ref="H676">YEAR(A676)</f>
        <v>2025</v>
      </c>
      <c r="I676" t="str" s="55" cm="1">
        <f t="array" ref="I676">"Q"&amp;ROUNDUP(MONTH(A676)/3,0)</f>
        <v>Q4</v>
      </c>
      <c r="J676" t="s" s="52">
        <v>61</v>
      </c>
    </row>
    <row r="677" ht="13.55" customHeight="1">
      <c r="A677" s="56">
        <v>45976</v>
      </c>
      <c r="B677" t="s" s="57">
        <v>21</v>
      </c>
      <c r="C677" t="s" s="57">
        <v>84</v>
      </c>
      <c r="D677" t="s" s="57">
        <v>15</v>
      </c>
      <c r="E677" s="58">
        <v>10</v>
      </c>
      <c r="F677" s="59">
        <v>54420</v>
      </c>
      <c r="G677" s="59" cm="1">
        <f t="array" ref="G677">E677*F677</f>
        <v>544200</v>
      </c>
      <c r="H677" s="58" cm="1">
        <f t="array" ref="H677">YEAR(A677)</f>
        <v>2025</v>
      </c>
      <c r="I677" t="str" s="60" cm="1">
        <f t="array" ref="I677">"Q"&amp;ROUNDUP(MONTH(A677)/3,0)</f>
        <v>Q4</v>
      </c>
      <c r="J677" t="s" s="57">
        <v>61</v>
      </c>
    </row>
    <row r="678" ht="13.55" customHeight="1">
      <c r="A678" s="51">
        <v>45976</v>
      </c>
      <c r="B678" t="s" s="52">
        <v>22</v>
      </c>
      <c r="C678" t="s" s="52">
        <v>83</v>
      </c>
      <c r="D678" t="s" s="52">
        <v>17</v>
      </c>
      <c r="E678" s="53">
        <v>4</v>
      </c>
      <c r="F678" s="54">
        <v>27250</v>
      </c>
      <c r="G678" s="54" cm="1">
        <f t="array" ref="G678">E678*F678</f>
        <v>109000</v>
      </c>
      <c r="H678" s="53" cm="1">
        <f t="array" ref="H678">YEAR(A678)</f>
        <v>2025</v>
      </c>
      <c r="I678" t="str" s="55" cm="1">
        <f t="array" ref="I678">"Q"&amp;ROUNDUP(MONTH(A678)/3,0)</f>
        <v>Q4</v>
      </c>
      <c r="J678" t="s" s="52">
        <v>61</v>
      </c>
    </row>
    <row r="679" ht="13.55" customHeight="1">
      <c r="A679" s="56">
        <v>45977</v>
      </c>
      <c r="B679" t="s" s="57">
        <v>21</v>
      </c>
      <c r="C679" t="s" s="57">
        <v>78</v>
      </c>
      <c r="D679" t="s" s="57">
        <v>18</v>
      </c>
      <c r="E679" s="58">
        <v>14</v>
      </c>
      <c r="F679" s="59">
        <v>23062</v>
      </c>
      <c r="G679" s="59" cm="1">
        <f t="array" ref="G679">E679*F679</f>
        <v>322868</v>
      </c>
      <c r="H679" s="58" cm="1">
        <f t="array" ref="H679">YEAR(A679)</f>
        <v>2025</v>
      </c>
      <c r="I679" t="str" s="60" cm="1">
        <f t="array" ref="I679">"Q"&amp;ROUNDUP(MONTH(A679)/3,0)</f>
        <v>Q4</v>
      </c>
      <c r="J679" t="s" s="57">
        <v>61</v>
      </c>
    </row>
    <row r="680" ht="13.55" customHeight="1">
      <c r="A680" s="51">
        <v>45978</v>
      </c>
      <c r="B680" t="s" s="52">
        <v>20</v>
      </c>
      <c r="C680" t="s" s="52">
        <v>84</v>
      </c>
      <c r="D680" t="s" s="52">
        <v>17</v>
      </c>
      <c r="E680" s="53">
        <v>13</v>
      </c>
      <c r="F680" s="54">
        <v>21193</v>
      </c>
      <c r="G680" s="54" cm="1">
        <f t="array" ref="G680">E680*F680</f>
        <v>275509</v>
      </c>
      <c r="H680" s="53" cm="1">
        <f t="array" ref="H680">YEAR(A680)</f>
        <v>2025</v>
      </c>
      <c r="I680" t="str" s="55" cm="1">
        <f t="array" ref="I680">"Q"&amp;ROUNDUP(MONTH(A680)/3,0)</f>
        <v>Q4</v>
      </c>
      <c r="J680" t="s" s="52">
        <v>61</v>
      </c>
    </row>
    <row r="681" ht="13.55" customHeight="1">
      <c r="A681" s="56">
        <v>45979</v>
      </c>
      <c r="B681" t="s" s="57">
        <v>21</v>
      </c>
      <c r="C681" t="s" s="57">
        <v>84</v>
      </c>
      <c r="D681" t="s" s="57">
        <v>16</v>
      </c>
      <c r="E681" s="58">
        <v>19</v>
      </c>
      <c r="F681" s="59">
        <v>72914</v>
      </c>
      <c r="G681" s="59" cm="1">
        <f t="array" ref="G681">E681*F681</f>
        <v>1385366</v>
      </c>
      <c r="H681" s="58" cm="1">
        <f t="array" ref="H681">YEAR(A681)</f>
        <v>2025</v>
      </c>
      <c r="I681" t="str" s="60" cm="1">
        <f t="array" ref="I681">"Q"&amp;ROUNDUP(MONTH(A681)/3,0)</f>
        <v>Q4</v>
      </c>
      <c r="J681" t="s" s="57">
        <v>61</v>
      </c>
    </row>
    <row r="682" ht="13.55" customHeight="1">
      <c r="A682" s="51">
        <v>45980</v>
      </c>
      <c r="B682" t="s" s="52">
        <v>21</v>
      </c>
      <c r="C682" t="s" s="52">
        <v>82</v>
      </c>
      <c r="D682" t="s" s="52">
        <v>15</v>
      </c>
      <c r="E682" s="53">
        <v>6</v>
      </c>
      <c r="F682" s="54">
        <v>18233</v>
      </c>
      <c r="G682" s="54" cm="1">
        <f t="array" ref="G682">E682*F682</f>
        <v>109398</v>
      </c>
      <c r="H682" s="53" cm="1">
        <f t="array" ref="H682">YEAR(A682)</f>
        <v>2025</v>
      </c>
      <c r="I682" t="str" s="55" cm="1">
        <f t="array" ref="I682">"Q"&amp;ROUNDUP(MONTH(A682)/3,0)</f>
        <v>Q4</v>
      </c>
      <c r="J682" t="s" s="52">
        <v>61</v>
      </c>
    </row>
    <row r="683" ht="13.55" customHeight="1">
      <c r="A683" s="56">
        <v>45981</v>
      </c>
      <c r="B683" t="s" s="57">
        <v>21</v>
      </c>
      <c r="C683" t="s" s="57">
        <v>82</v>
      </c>
      <c r="D683" t="s" s="57">
        <v>15</v>
      </c>
      <c r="E683" s="58">
        <v>8</v>
      </c>
      <c r="F683" s="59">
        <v>50536</v>
      </c>
      <c r="G683" s="59" cm="1">
        <f t="array" ref="G683">E683*F683</f>
        <v>404288</v>
      </c>
      <c r="H683" s="58" cm="1">
        <f t="array" ref="H683">YEAR(A683)</f>
        <v>2025</v>
      </c>
      <c r="I683" t="str" s="60" cm="1">
        <f t="array" ref="I683">"Q"&amp;ROUNDUP(MONTH(A683)/3,0)</f>
        <v>Q4</v>
      </c>
      <c r="J683" t="s" s="57">
        <v>61</v>
      </c>
    </row>
    <row r="684" ht="13.55" customHeight="1">
      <c r="A684" s="51">
        <v>45982</v>
      </c>
      <c r="B684" t="s" s="52">
        <v>22</v>
      </c>
      <c r="C684" t="s" s="52">
        <v>83</v>
      </c>
      <c r="D684" t="s" s="52">
        <v>18</v>
      </c>
      <c r="E684" s="53">
        <v>17</v>
      </c>
      <c r="F684" s="54">
        <v>79055</v>
      </c>
      <c r="G684" s="54" cm="1">
        <f t="array" ref="G684">E684*F684</f>
        <v>1343935</v>
      </c>
      <c r="H684" s="53" cm="1">
        <f t="array" ref="H684">YEAR(A684)</f>
        <v>2025</v>
      </c>
      <c r="I684" t="str" s="55" cm="1">
        <f t="array" ref="I684">"Q"&amp;ROUNDUP(MONTH(A684)/3,0)</f>
        <v>Q4</v>
      </c>
      <c r="J684" t="s" s="52">
        <v>61</v>
      </c>
    </row>
    <row r="685" ht="13.55" customHeight="1">
      <c r="A685" s="56">
        <v>45982</v>
      </c>
      <c r="B685" t="s" s="57">
        <v>21</v>
      </c>
      <c r="C685" t="s" s="57">
        <v>84</v>
      </c>
      <c r="D685" t="s" s="57">
        <v>16</v>
      </c>
      <c r="E685" s="58">
        <v>18</v>
      </c>
      <c r="F685" s="59">
        <v>71736</v>
      </c>
      <c r="G685" s="59" cm="1">
        <f t="array" ref="G685">E685*F685</f>
        <v>1291248</v>
      </c>
      <c r="H685" s="58" cm="1">
        <f t="array" ref="H685">YEAR(A685)</f>
        <v>2025</v>
      </c>
      <c r="I685" t="str" s="60" cm="1">
        <f t="array" ref="I685">"Q"&amp;ROUNDUP(MONTH(A685)/3,0)</f>
        <v>Q4</v>
      </c>
      <c r="J685" t="s" s="57">
        <v>61</v>
      </c>
    </row>
    <row r="686" ht="13.55" customHeight="1">
      <c r="A686" s="51">
        <v>45983</v>
      </c>
      <c r="B686" t="s" s="52">
        <v>23</v>
      </c>
      <c r="C686" t="s" s="52">
        <v>81</v>
      </c>
      <c r="D686" t="s" s="52">
        <v>18</v>
      </c>
      <c r="E686" s="53">
        <v>5</v>
      </c>
      <c r="F686" s="54">
        <v>41413</v>
      </c>
      <c r="G686" s="54" cm="1">
        <f t="array" ref="G686">E686*F686</f>
        <v>207065</v>
      </c>
      <c r="H686" s="53" cm="1">
        <f t="array" ref="H686">YEAR(A686)</f>
        <v>2025</v>
      </c>
      <c r="I686" t="str" s="55" cm="1">
        <f t="array" ref="I686">"Q"&amp;ROUNDUP(MONTH(A686)/3,0)</f>
        <v>Q4</v>
      </c>
      <c r="J686" t="s" s="52">
        <v>61</v>
      </c>
    </row>
    <row r="687" ht="13.55" customHeight="1">
      <c r="A687" s="56">
        <v>45983</v>
      </c>
      <c r="B687" t="s" s="57">
        <v>23</v>
      </c>
      <c r="C687" t="s" s="57">
        <v>78</v>
      </c>
      <c r="D687" t="s" s="57">
        <v>16</v>
      </c>
      <c r="E687" s="58">
        <v>12</v>
      </c>
      <c r="F687" s="59">
        <v>7775</v>
      </c>
      <c r="G687" s="59" cm="1">
        <f t="array" ref="G687">E687*F687</f>
        <v>93300</v>
      </c>
      <c r="H687" s="58" cm="1">
        <f t="array" ref="H687">YEAR(A687)</f>
        <v>2025</v>
      </c>
      <c r="I687" t="str" s="60" cm="1">
        <f t="array" ref="I687">"Q"&amp;ROUNDUP(MONTH(A687)/3,0)</f>
        <v>Q4</v>
      </c>
      <c r="J687" t="s" s="57">
        <v>61</v>
      </c>
    </row>
    <row r="688" ht="13.55" customHeight="1">
      <c r="A688" s="51">
        <v>45984</v>
      </c>
      <c r="B688" t="s" s="52">
        <v>23</v>
      </c>
      <c r="C688" t="s" s="52">
        <v>80</v>
      </c>
      <c r="D688" t="s" s="52">
        <v>16</v>
      </c>
      <c r="E688" s="53">
        <v>1</v>
      </c>
      <c r="F688" s="54">
        <v>23782</v>
      </c>
      <c r="G688" s="54" cm="1">
        <f t="array" ref="G688">E688*F688</f>
        <v>23782</v>
      </c>
      <c r="H688" s="53" cm="1">
        <f t="array" ref="H688">YEAR(A688)</f>
        <v>2025</v>
      </c>
      <c r="I688" t="str" s="55" cm="1">
        <f t="array" ref="I688">"Q"&amp;ROUNDUP(MONTH(A688)/3,0)</f>
        <v>Q4</v>
      </c>
      <c r="J688" t="s" s="52">
        <v>61</v>
      </c>
    </row>
    <row r="689" ht="13.55" customHeight="1">
      <c r="A689" s="56">
        <v>45986</v>
      </c>
      <c r="B689" t="s" s="57">
        <v>22</v>
      </c>
      <c r="C689" t="s" s="57">
        <v>84</v>
      </c>
      <c r="D689" t="s" s="57">
        <v>15</v>
      </c>
      <c r="E689" s="58">
        <v>8</v>
      </c>
      <c r="F689" s="59">
        <v>62616</v>
      </c>
      <c r="G689" s="59" cm="1">
        <f t="array" ref="G689">E689*F689</f>
        <v>500928</v>
      </c>
      <c r="H689" s="58" cm="1">
        <f t="array" ref="H689">YEAR(A689)</f>
        <v>2025</v>
      </c>
      <c r="I689" t="str" s="60" cm="1">
        <f t="array" ref="I689">"Q"&amp;ROUNDUP(MONTH(A689)/3,0)</f>
        <v>Q4</v>
      </c>
      <c r="J689" t="s" s="57">
        <v>61</v>
      </c>
    </row>
    <row r="690" ht="13.55" customHeight="1">
      <c r="A690" s="51">
        <v>45988</v>
      </c>
      <c r="B690" t="s" s="52">
        <v>20</v>
      </c>
      <c r="C690" t="s" s="52">
        <v>83</v>
      </c>
      <c r="D690" t="s" s="52">
        <v>16</v>
      </c>
      <c r="E690" s="53">
        <v>10</v>
      </c>
      <c r="F690" s="54">
        <v>49739</v>
      </c>
      <c r="G690" s="54" cm="1">
        <f t="array" ref="G690">E690*F690</f>
        <v>497390</v>
      </c>
      <c r="H690" s="53" cm="1">
        <f t="array" ref="H690">YEAR(A690)</f>
        <v>2025</v>
      </c>
      <c r="I690" t="str" s="55" cm="1">
        <f t="array" ref="I690">"Q"&amp;ROUNDUP(MONTH(A690)/3,0)</f>
        <v>Q4</v>
      </c>
      <c r="J690" t="s" s="52">
        <v>61</v>
      </c>
    </row>
    <row r="691" ht="13.55" customHeight="1">
      <c r="A691" s="56">
        <v>45989</v>
      </c>
      <c r="B691" t="s" s="57">
        <v>22</v>
      </c>
      <c r="C691" t="s" s="57">
        <v>78</v>
      </c>
      <c r="D691" t="s" s="57">
        <v>15</v>
      </c>
      <c r="E691" s="58">
        <v>14</v>
      </c>
      <c r="F691" s="59">
        <v>62530</v>
      </c>
      <c r="G691" s="59" cm="1">
        <f t="array" ref="G691">E691*F691</f>
        <v>875420</v>
      </c>
      <c r="H691" s="58" cm="1">
        <f t="array" ref="H691">YEAR(A691)</f>
        <v>2025</v>
      </c>
      <c r="I691" t="str" s="60" cm="1">
        <f t="array" ref="I691">"Q"&amp;ROUNDUP(MONTH(A691)/3,0)</f>
        <v>Q4</v>
      </c>
      <c r="J691" t="s" s="57">
        <v>61</v>
      </c>
    </row>
    <row r="692" ht="13.55" customHeight="1">
      <c r="A692" s="51">
        <v>45989</v>
      </c>
      <c r="B692" t="s" s="52">
        <v>21</v>
      </c>
      <c r="C692" t="s" s="52">
        <v>84</v>
      </c>
      <c r="D692" t="s" s="52">
        <v>18</v>
      </c>
      <c r="E692" s="53">
        <v>1</v>
      </c>
      <c r="F692" s="54">
        <v>40903</v>
      </c>
      <c r="G692" s="54" cm="1">
        <f t="array" ref="G692">E692*F692</f>
        <v>40903</v>
      </c>
      <c r="H692" s="53" cm="1">
        <f t="array" ref="H692">YEAR(A692)</f>
        <v>2025</v>
      </c>
      <c r="I692" t="str" s="55" cm="1">
        <f t="array" ref="I692">"Q"&amp;ROUNDUP(MONTH(A692)/3,0)</f>
        <v>Q4</v>
      </c>
      <c r="J692" t="s" s="52">
        <v>61</v>
      </c>
    </row>
    <row r="693" ht="13.55" customHeight="1">
      <c r="A693" s="56">
        <v>45990</v>
      </c>
      <c r="B693" t="s" s="57">
        <v>20</v>
      </c>
      <c r="C693" t="s" s="57">
        <v>80</v>
      </c>
      <c r="D693" t="s" s="57">
        <v>16</v>
      </c>
      <c r="E693" s="58">
        <v>4</v>
      </c>
      <c r="F693" s="59">
        <v>30954</v>
      </c>
      <c r="G693" s="59" cm="1">
        <f t="array" ref="G693">E693*F693</f>
        <v>123816</v>
      </c>
      <c r="H693" s="58" cm="1">
        <f t="array" ref="H693">YEAR(A693)</f>
        <v>2025</v>
      </c>
      <c r="I693" t="str" s="60" cm="1">
        <f t="array" ref="I693">"Q"&amp;ROUNDUP(MONTH(A693)/3,0)</f>
        <v>Q4</v>
      </c>
      <c r="J693" t="s" s="57">
        <v>61</v>
      </c>
    </row>
    <row r="694" ht="13.55" customHeight="1">
      <c r="A694" s="51">
        <v>45990</v>
      </c>
      <c r="B694" t="s" s="52">
        <v>23</v>
      </c>
      <c r="C694" t="s" s="52">
        <v>84</v>
      </c>
      <c r="D694" t="s" s="52">
        <v>17</v>
      </c>
      <c r="E694" s="53">
        <v>2</v>
      </c>
      <c r="F694" s="54">
        <v>66934</v>
      </c>
      <c r="G694" s="54" cm="1">
        <f t="array" ref="G694">E694*F694</f>
        <v>133868</v>
      </c>
      <c r="H694" s="53" cm="1">
        <f t="array" ref="H694">YEAR(A694)</f>
        <v>2025</v>
      </c>
      <c r="I694" t="str" s="55" cm="1">
        <f t="array" ref="I694">"Q"&amp;ROUNDUP(MONTH(A694)/3,0)</f>
        <v>Q4</v>
      </c>
      <c r="J694" t="s" s="52">
        <v>61</v>
      </c>
    </row>
    <row r="695" ht="13.55" customHeight="1">
      <c r="A695" s="56">
        <v>45990</v>
      </c>
      <c r="B695" t="s" s="57">
        <v>22</v>
      </c>
      <c r="C695" t="s" s="57">
        <v>80</v>
      </c>
      <c r="D695" t="s" s="57">
        <v>15</v>
      </c>
      <c r="E695" s="58">
        <v>2</v>
      </c>
      <c r="F695" s="59">
        <v>38272</v>
      </c>
      <c r="G695" s="59" cm="1">
        <f t="array" ref="G695">E695*F695</f>
        <v>76544</v>
      </c>
      <c r="H695" s="58" cm="1">
        <f t="array" ref="H695">YEAR(A695)</f>
        <v>2025</v>
      </c>
      <c r="I695" t="str" s="60" cm="1">
        <f t="array" ref="I695">"Q"&amp;ROUNDUP(MONTH(A695)/3,0)</f>
        <v>Q4</v>
      </c>
      <c r="J695" t="s" s="57">
        <v>61</v>
      </c>
    </row>
    <row r="696" ht="13.55" customHeight="1">
      <c r="A696" s="51">
        <v>45991</v>
      </c>
      <c r="B696" t="s" s="52">
        <v>21</v>
      </c>
      <c r="C696" t="s" s="52">
        <v>83</v>
      </c>
      <c r="D696" t="s" s="52">
        <v>18</v>
      </c>
      <c r="E696" s="53">
        <v>19</v>
      </c>
      <c r="F696" s="54">
        <v>27547</v>
      </c>
      <c r="G696" s="54" cm="1">
        <f t="array" ref="G696">E696*F696</f>
        <v>523393</v>
      </c>
      <c r="H696" s="53" cm="1">
        <f t="array" ref="H696">YEAR(A696)</f>
        <v>2025</v>
      </c>
      <c r="I696" t="str" s="55" cm="1">
        <f t="array" ref="I696">"Q"&amp;ROUNDUP(MONTH(A696)/3,0)</f>
        <v>Q4</v>
      </c>
      <c r="J696" t="s" s="52">
        <v>61</v>
      </c>
    </row>
    <row r="697" ht="13.55" customHeight="1">
      <c r="A697" s="56">
        <v>45991</v>
      </c>
      <c r="B697" t="s" s="57">
        <v>22</v>
      </c>
      <c r="C697" t="s" s="57">
        <v>81</v>
      </c>
      <c r="D697" t="s" s="57">
        <v>16</v>
      </c>
      <c r="E697" s="58">
        <v>2</v>
      </c>
      <c r="F697" s="59">
        <v>57691</v>
      </c>
      <c r="G697" s="59" cm="1">
        <f t="array" ref="G697">E697*F697</f>
        <v>115382</v>
      </c>
      <c r="H697" s="58" cm="1">
        <f t="array" ref="H697">YEAR(A697)</f>
        <v>2025</v>
      </c>
      <c r="I697" t="str" s="60" cm="1">
        <f t="array" ref="I697">"Q"&amp;ROUNDUP(MONTH(A697)/3,0)</f>
        <v>Q4</v>
      </c>
      <c r="J697" t="s" s="57">
        <v>61</v>
      </c>
    </row>
    <row r="698" ht="13.55" customHeight="1">
      <c r="A698" s="51">
        <v>45992</v>
      </c>
      <c r="B698" t="s" s="52">
        <v>20</v>
      </c>
      <c r="C698" t="s" s="52">
        <v>82</v>
      </c>
      <c r="D698" t="s" s="52">
        <v>15</v>
      </c>
      <c r="E698" s="53">
        <v>1</v>
      </c>
      <c r="F698" s="54">
        <v>71960</v>
      </c>
      <c r="G698" s="54" cm="1">
        <f t="array" ref="G698">E698*F698</f>
        <v>71960</v>
      </c>
      <c r="H698" s="53" cm="1">
        <f t="array" ref="H698">YEAR(A698)</f>
        <v>2025</v>
      </c>
      <c r="I698" t="str" s="55" cm="1">
        <f t="array" ref="I698">"Q"&amp;ROUNDUP(MONTH(A698)/3,0)</f>
        <v>Q4</v>
      </c>
      <c r="J698" t="s" s="52">
        <v>62</v>
      </c>
    </row>
    <row r="699" ht="13.55" customHeight="1">
      <c r="A699" s="56">
        <v>45993</v>
      </c>
      <c r="B699" t="s" s="57">
        <v>20</v>
      </c>
      <c r="C699" t="s" s="57">
        <v>80</v>
      </c>
      <c r="D699" t="s" s="57">
        <v>16</v>
      </c>
      <c r="E699" s="58">
        <v>4</v>
      </c>
      <c r="F699" s="59">
        <v>55489</v>
      </c>
      <c r="G699" s="59" cm="1">
        <f t="array" ref="G699">E699*F699</f>
        <v>221956</v>
      </c>
      <c r="H699" s="58" cm="1">
        <f t="array" ref="H699">YEAR(A699)</f>
        <v>2025</v>
      </c>
      <c r="I699" t="str" s="60" cm="1">
        <f t="array" ref="I699">"Q"&amp;ROUNDUP(MONTH(A699)/3,0)</f>
        <v>Q4</v>
      </c>
      <c r="J699" t="s" s="57">
        <v>62</v>
      </c>
    </row>
    <row r="700" ht="13.55" customHeight="1">
      <c r="A700" s="51">
        <v>45994</v>
      </c>
      <c r="B700" t="s" s="52">
        <v>23</v>
      </c>
      <c r="C700" t="s" s="52">
        <v>80</v>
      </c>
      <c r="D700" t="s" s="52">
        <v>17</v>
      </c>
      <c r="E700" s="53">
        <v>13</v>
      </c>
      <c r="F700" s="54">
        <v>9017</v>
      </c>
      <c r="G700" s="54" cm="1">
        <f t="array" ref="G700">E700*F700</f>
        <v>117221</v>
      </c>
      <c r="H700" s="53" cm="1">
        <f t="array" ref="H700">YEAR(A700)</f>
        <v>2025</v>
      </c>
      <c r="I700" t="str" s="55" cm="1">
        <f t="array" ref="I700">"Q"&amp;ROUNDUP(MONTH(A700)/3,0)</f>
        <v>Q4</v>
      </c>
      <c r="J700" t="s" s="52">
        <v>62</v>
      </c>
    </row>
    <row r="701" ht="13.55" customHeight="1">
      <c r="A701" s="56">
        <v>45995</v>
      </c>
      <c r="B701" t="s" s="57">
        <v>22</v>
      </c>
      <c r="C701" t="s" s="57">
        <v>83</v>
      </c>
      <c r="D701" t="s" s="57">
        <v>15</v>
      </c>
      <c r="E701" s="58">
        <v>15</v>
      </c>
      <c r="F701" s="59">
        <v>54996</v>
      </c>
      <c r="G701" s="59" cm="1">
        <f t="array" ref="G701">E701*F701</f>
        <v>824940</v>
      </c>
      <c r="H701" s="58" cm="1">
        <f t="array" ref="H701">YEAR(A701)</f>
        <v>2025</v>
      </c>
      <c r="I701" t="str" s="60" cm="1">
        <f t="array" ref="I701">"Q"&amp;ROUNDUP(MONTH(A701)/3,0)</f>
        <v>Q4</v>
      </c>
      <c r="J701" t="s" s="57">
        <v>62</v>
      </c>
    </row>
    <row r="702" ht="13.55" customHeight="1">
      <c r="A702" s="51">
        <v>45995</v>
      </c>
      <c r="B702" t="s" s="52">
        <v>20</v>
      </c>
      <c r="C702" t="s" s="52">
        <v>83</v>
      </c>
      <c r="D702" t="s" s="52">
        <v>17</v>
      </c>
      <c r="E702" s="53">
        <v>19</v>
      </c>
      <c r="F702" s="54">
        <v>75423</v>
      </c>
      <c r="G702" s="54" cm="1">
        <f t="array" ref="G702">E702*F702</f>
        <v>1433037</v>
      </c>
      <c r="H702" s="53" cm="1">
        <f t="array" ref="H702">YEAR(A702)</f>
        <v>2025</v>
      </c>
      <c r="I702" t="str" s="55" cm="1">
        <f t="array" ref="I702">"Q"&amp;ROUNDUP(MONTH(A702)/3,0)</f>
        <v>Q4</v>
      </c>
      <c r="J702" t="s" s="52">
        <v>62</v>
      </c>
    </row>
    <row r="703" ht="13.55" customHeight="1">
      <c r="A703" s="56">
        <v>45997</v>
      </c>
      <c r="B703" t="s" s="57">
        <v>21</v>
      </c>
      <c r="C703" t="s" s="57">
        <v>81</v>
      </c>
      <c r="D703" t="s" s="57">
        <v>16</v>
      </c>
      <c r="E703" s="58">
        <v>1</v>
      </c>
      <c r="F703" s="59">
        <v>30939</v>
      </c>
      <c r="G703" s="59" cm="1">
        <f t="array" ref="G703">E703*F703</f>
        <v>30939</v>
      </c>
      <c r="H703" s="58" cm="1">
        <f t="array" ref="H703">YEAR(A703)</f>
        <v>2025</v>
      </c>
      <c r="I703" t="str" s="60" cm="1">
        <f t="array" ref="I703">"Q"&amp;ROUNDUP(MONTH(A703)/3,0)</f>
        <v>Q4</v>
      </c>
      <c r="J703" t="s" s="57">
        <v>62</v>
      </c>
    </row>
    <row r="704" ht="13.55" customHeight="1">
      <c r="A704" s="51">
        <v>46000</v>
      </c>
      <c r="B704" t="s" s="52">
        <v>23</v>
      </c>
      <c r="C704" t="s" s="52">
        <v>78</v>
      </c>
      <c r="D704" t="s" s="52">
        <v>18</v>
      </c>
      <c r="E704" s="53">
        <v>7</v>
      </c>
      <c r="F704" s="54">
        <v>45317</v>
      </c>
      <c r="G704" s="54" cm="1">
        <f t="array" ref="G704">E704*F704</f>
        <v>317219</v>
      </c>
      <c r="H704" s="53" cm="1">
        <f t="array" ref="H704">YEAR(A704)</f>
        <v>2025</v>
      </c>
      <c r="I704" t="str" s="55" cm="1">
        <f t="array" ref="I704">"Q"&amp;ROUNDUP(MONTH(A704)/3,0)</f>
        <v>Q4</v>
      </c>
      <c r="J704" t="s" s="52">
        <v>62</v>
      </c>
    </row>
    <row r="705" ht="13.55" customHeight="1">
      <c r="A705" s="56">
        <v>46001</v>
      </c>
      <c r="B705" t="s" s="57">
        <v>21</v>
      </c>
      <c r="C705" t="s" s="57">
        <v>81</v>
      </c>
      <c r="D705" t="s" s="57">
        <v>18</v>
      </c>
      <c r="E705" s="58">
        <v>18</v>
      </c>
      <c r="F705" s="59">
        <v>48442</v>
      </c>
      <c r="G705" s="59" cm="1">
        <f t="array" ref="G705">E705*F705</f>
        <v>871956</v>
      </c>
      <c r="H705" s="58" cm="1">
        <f t="array" ref="H705">YEAR(A705)</f>
        <v>2025</v>
      </c>
      <c r="I705" t="str" s="60" cm="1">
        <f t="array" ref="I705">"Q"&amp;ROUNDUP(MONTH(A705)/3,0)</f>
        <v>Q4</v>
      </c>
      <c r="J705" t="s" s="57">
        <v>62</v>
      </c>
    </row>
    <row r="706" ht="13.55" customHeight="1">
      <c r="A706" s="51">
        <v>46001</v>
      </c>
      <c r="B706" t="s" s="52">
        <v>20</v>
      </c>
      <c r="C706" t="s" s="52">
        <v>83</v>
      </c>
      <c r="D706" t="s" s="52">
        <v>16</v>
      </c>
      <c r="E706" s="53">
        <v>6</v>
      </c>
      <c r="F706" s="54">
        <v>48937</v>
      </c>
      <c r="G706" s="54" cm="1">
        <f t="array" ref="G706">E706*F706</f>
        <v>293622</v>
      </c>
      <c r="H706" s="53" cm="1">
        <f t="array" ref="H706">YEAR(A706)</f>
        <v>2025</v>
      </c>
      <c r="I706" t="str" s="55" cm="1">
        <f t="array" ref="I706">"Q"&amp;ROUNDUP(MONTH(A706)/3,0)</f>
        <v>Q4</v>
      </c>
      <c r="J706" t="s" s="52">
        <v>62</v>
      </c>
    </row>
    <row r="707" ht="13.55" customHeight="1">
      <c r="A707" s="56">
        <v>46002</v>
      </c>
      <c r="B707" t="s" s="57">
        <v>20</v>
      </c>
      <c r="C707" t="s" s="57">
        <v>78</v>
      </c>
      <c r="D707" t="s" s="57">
        <v>17</v>
      </c>
      <c r="E707" s="58">
        <v>19</v>
      </c>
      <c r="F707" s="59">
        <v>59319</v>
      </c>
      <c r="G707" s="59" cm="1">
        <f t="array" ref="G707">E707*F707</f>
        <v>1127061</v>
      </c>
      <c r="H707" s="58" cm="1">
        <f t="array" ref="H707">YEAR(A707)</f>
        <v>2025</v>
      </c>
      <c r="I707" t="str" s="60" cm="1">
        <f t="array" ref="I707">"Q"&amp;ROUNDUP(MONTH(A707)/3,0)</f>
        <v>Q4</v>
      </c>
      <c r="J707" t="s" s="57">
        <v>62</v>
      </c>
    </row>
    <row r="708" ht="13.55" customHeight="1">
      <c r="A708" s="51">
        <v>46005</v>
      </c>
      <c r="B708" t="s" s="52">
        <v>20</v>
      </c>
      <c r="C708" t="s" s="52">
        <v>78</v>
      </c>
      <c r="D708" t="s" s="52">
        <v>18</v>
      </c>
      <c r="E708" s="53">
        <v>10</v>
      </c>
      <c r="F708" s="54">
        <v>44019</v>
      </c>
      <c r="G708" s="54" cm="1">
        <f t="array" ref="G708">E708*F708</f>
        <v>440190</v>
      </c>
      <c r="H708" s="53" cm="1">
        <f t="array" ref="H708">YEAR(A708)</f>
        <v>2025</v>
      </c>
      <c r="I708" t="str" s="55" cm="1">
        <f t="array" ref="I708">"Q"&amp;ROUNDUP(MONTH(A708)/3,0)</f>
        <v>Q4</v>
      </c>
      <c r="J708" t="s" s="52">
        <v>62</v>
      </c>
    </row>
    <row r="709" ht="13.55" customHeight="1">
      <c r="A709" s="56">
        <v>46009</v>
      </c>
      <c r="B709" t="s" s="57">
        <v>23</v>
      </c>
      <c r="C709" t="s" s="57">
        <v>81</v>
      </c>
      <c r="D709" t="s" s="57">
        <v>18</v>
      </c>
      <c r="E709" s="58">
        <v>13</v>
      </c>
      <c r="F709" s="59">
        <v>25389</v>
      </c>
      <c r="G709" s="59" cm="1">
        <f t="array" ref="G709">E709*F709</f>
        <v>330057</v>
      </c>
      <c r="H709" s="58" cm="1">
        <f t="array" ref="H709">YEAR(A709)</f>
        <v>2025</v>
      </c>
      <c r="I709" t="str" s="60" cm="1">
        <f t="array" ref="I709">"Q"&amp;ROUNDUP(MONTH(A709)/3,0)</f>
        <v>Q4</v>
      </c>
      <c r="J709" t="s" s="57">
        <v>62</v>
      </c>
    </row>
    <row r="710" ht="13.55" customHeight="1">
      <c r="A710" s="51">
        <v>46011</v>
      </c>
      <c r="B710" t="s" s="52">
        <v>22</v>
      </c>
      <c r="C710" t="s" s="52">
        <v>81</v>
      </c>
      <c r="D710" t="s" s="52">
        <v>18</v>
      </c>
      <c r="E710" s="53">
        <v>6</v>
      </c>
      <c r="F710" s="54">
        <v>27867</v>
      </c>
      <c r="G710" s="54" cm="1">
        <f t="array" ref="G710">E710*F710</f>
        <v>167202</v>
      </c>
      <c r="H710" s="53" cm="1">
        <f t="array" ref="H710">YEAR(A710)</f>
        <v>2025</v>
      </c>
      <c r="I710" t="str" s="55" cm="1">
        <f t="array" ref="I710">"Q"&amp;ROUNDUP(MONTH(A710)/3,0)</f>
        <v>Q4</v>
      </c>
      <c r="J710" t="s" s="52">
        <v>62</v>
      </c>
    </row>
    <row r="711" ht="13.55" customHeight="1">
      <c r="A711" s="56">
        <v>46011</v>
      </c>
      <c r="B711" t="s" s="57">
        <v>23</v>
      </c>
      <c r="C711" t="s" s="57">
        <v>82</v>
      </c>
      <c r="D711" t="s" s="57">
        <v>16</v>
      </c>
      <c r="E711" s="58">
        <v>3</v>
      </c>
      <c r="F711" s="59">
        <v>39397</v>
      </c>
      <c r="G711" s="59" cm="1">
        <f t="array" ref="G711">E711*F711</f>
        <v>118191</v>
      </c>
      <c r="H711" s="58" cm="1">
        <f t="array" ref="H711">YEAR(A711)</f>
        <v>2025</v>
      </c>
      <c r="I711" t="str" s="60" cm="1">
        <f t="array" ref="I711">"Q"&amp;ROUNDUP(MONTH(A711)/3,0)</f>
        <v>Q4</v>
      </c>
      <c r="J711" t="s" s="57">
        <v>62</v>
      </c>
    </row>
    <row r="712" ht="13.55" customHeight="1">
      <c r="A712" s="51">
        <v>46015</v>
      </c>
      <c r="B712" t="s" s="52">
        <v>23</v>
      </c>
      <c r="C712" t="s" s="52">
        <v>81</v>
      </c>
      <c r="D712" t="s" s="52">
        <v>15</v>
      </c>
      <c r="E712" s="53">
        <v>16</v>
      </c>
      <c r="F712" s="54">
        <v>60878</v>
      </c>
      <c r="G712" s="54" cm="1">
        <f t="array" ref="G712">E712*F712</f>
        <v>974048</v>
      </c>
      <c r="H712" s="53" cm="1">
        <f t="array" ref="H712">YEAR(A712)</f>
        <v>2025</v>
      </c>
      <c r="I712" t="str" s="55" cm="1">
        <f t="array" ref="I712">"Q"&amp;ROUNDUP(MONTH(A712)/3,0)</f>
        <v>Q4</v>
      </c>
      <c r="J712" t="s" s="52">
        <v>62</v>
      </c>
    </row>
    <row r="713" ht="13.55" customHeight="1">
      <c r="A713" s="56">
        <v>46016</v>
      </c>
      <c r="B713" t="s" s="57">
        <v>22</v>
      </c>
      <c r="C713" t="s" s="57">
        <v>80</v>
      </c>
      <c r="D713" t="s" s="57">
        <v>18</v>
      </c>
      <c r="E713" s="58">
        <v>13</v>
      </c>
      <c r="F713" s="59">
        <v>17625</v>
      </c>
      <c r="G713" s="59" cm="1">
        <f t="array" ref="G713">E713*F713</f>
        <v>229125</v>
      </c>
      <c r="H713" s="58" cm="1">
        <f t="array" ref="H713">YEAR(A713)</f>
        <v>2025</v>
      </c>
      <c r="I713" t="str" s="60" cm="1">
        <f t="array" ref="I713">"Q"&amp;ROUNDUP(MONTH(A713)/3,0)</f>
        <v>Q4</v>
      </c>
      <c r="J713" t="s" s="57">
        <v>62</v>
      </c>
    </row>
    <row r="714" ht="13.55" customHeight="1">
      <c r="A714" s="51">
        <v>46017</v>
      </c>
      <c r="B714" t="s" s="52">
        <v>22</v>
      </c>
      <c r="C714" t="s" s="52">
        <v>80</v>
      </c>
      <c r="D714" t="s" s="52">
        <v>17</v>
      </c>
      <c r="E714" s="53">
        <v>13</v>
      </c>
      <c r="F714" s="54">
        <v>30500</v>
      </c>
      <c r="G714" s="54" cm="1">
        <f t="array" ref="G714">E714*F714</f>
        <v>396500</v>
      </c>
      <c r="H714" s="53" cm="1">
        <f t="array" ref="H714">YEAR(A714)</f>
        <v>2025</v>
      </c>
      <c r="I714" t="str" s="55" cm="1">
        <f t="array" ref="I714">"Q"&amp;ROUNDUP(MONTH(A714)/3,0)</f>
        <v>Q4</v>
      </c>
      <c r="J714" t="s" s="52">
        <v>62</v>
      </c>
    </row>
    <row r="715" ht="13.55" customHeight="1">
      <c r="A715" s="56">
        <v>46018</v>
      </c>
      <c r="B715" t="s" s="57">
        <v>23</v>
      </c>
      <c r="C715" t="s" s="57">
        <v>81</v>
      </c>
      <c r="D715" t="s" s="57">
        <v>18</v>
      </c>
      <c r="E715" s="58">
        <v>10</v>
      </c>
      <c r="F715" s="59">
        <v>74341</v>
      </c>
      <c r="G715" s="59" cm="1">
        <f t="array" ref="G715">E715*F715</f>
        <v>743410</v>
      </c>
      <c r="H715" s="58" cm="1">
        <f t="array" ref="H715">YEAR(A715)</f>
        <v>2025</v>
      </c>
      <c r="I715" t="str" s="60" cm="1">
        <f t="array" ref="I715">"Q"&amp;ROUNDUP(MONTH(A715)/3,0)</f>
        <v>Q4</v>
      </c>
      <c r="J715" t="s" s="57">
        <v>62</v>
      </c>
    </row>
    <row r="716" ht="13.55" customHeight="1">
      <c r="A716" s="51">
        <v>46018</v>
      </c>
      <c r="B716" t="s" s="52">
        <v>20</v>
      </c>
      <c r="C716" t="s" s="52">
        <v>80</v>
      </c>
      <c r="D716" t="s" s="52">
        <v>16</v>
      </c>
      <c r="E716" s="53">
        <v>4</v>
      </c>
      <c r="F716" s="54">
        <v>32586</v>
      </c>
      <c r="G716" s="54" cm="1">
        <f t="array" ref="G716">E716*F716</f>
        <v>130344</v>
      </c>
      <c r="H716" s="53" cm="1">
        <f t="array" ref="H716">YEAR(A716)</f>
        <v>2025</v>
      </c>
      <c r="I716" t="str" s="55" cm="1">
        <f t="array" ref="I716">"Q"&amp;ROUNDUP(MONTH(A716)/3,0)</f>
        <v>Q4</v>
      </c>
      <c r="J716" t="s" s="52">
        <v>62</v>
      </c>
    </row>
    <row r="717" ht="13.55" customHeight="1">
      <c r="A717" s="56">
        <v>46018</v>
      </c>
      <c r="B717" t="s" s="57">
        <v>21</v>
      </c>
      <c r="C717" t="s" s="57">
        <v>81</v>
      </c>
      <c r="D717" t="s" s="57">
        <v>17</v>
      </c>
      <c r="E717" s="58">
        <v>18</v>
      </c>
      <c r="F717" s="59">
        <v>52574</v>
      </c>
      <c r="G717" s="59" cm="1">
        <f t="array" ref="G717">E717*F717</f>
        <v>946332</v>
      </c>
      <c r="H717" s="58" cm="1">
        <f t="array" ref="H717">YEAR(A717)</f>
        <v>2025</v>
      </c>
      <c r="I717" t="str" s="60" cm="1">
        <f t="array" ref="I717">"Q"&amp;ROUNDUP(MONTH(A717)/3,0)</f>
        <v>Q4</v>
      </c>
      <c r="J717" t="s" s="57">
        <v>62</v>
      </c>
    </row>
    <row r="718" ht="13.55" customHeight="1">
      <c r="A718" s="51">
        <v>46019</v>
      </c>
      <c r="B718" t="s" s="52">
        <v>20</v>
      </c>
      <c r="C718" t="s" s="52">
        <v>83</v>
      </c>
      <c r="D718" t="s" s="52">
        <v>17</v>
      </c>
      <c r="E718" s="53">
        <v>13</v>
      </c>
      <c r="F718" s="54">
        <v>61704</v>
      </c>
      <c r="G718" s="54" cm="1">
        <f t="array" ref="G718">E718*F718</f>
        <v>802152</v>
      </c>
      <c r="H718" s="53" cm="1">
        <f t="array" ref="H718">YEAR(A718)</f>
        <v>2025</v>
      </c>
      <c r="I718" t="str" s="55" cm="1">
        <f t="array" ref="I718">"Q"&amp;ROUNDUP(MONTH(A718)/3,0)</f>
        <v>Q4</v>
      </c>
      <c r="J718" t="s" s="52">
        <v>62</v>
      </c>
    </row>
    <row r="719" ht="13.55" customHeight="1">
      <c r="A719" s="56">
        <v>46020</v>
      </c>
      <c r="B719" t="s" s="57">
        <v>23</v>
      </c>
      <c r="C719" t="s" s="57">
        <v>80</v>
      </c>
      <c r="D719" t="s" s="57">
        <v>17</v>
      </c>
      <c r="E719" s="58">
        <v>9</v>
      </c>
      <c r="F719" s="59">
        <v>57265</v>
      </c>
      <c r="G719" s="59" cm="1">
        <f t="array" ref="G719">E719*F719</f>
        <v>515385</v>
      </c>
      <c r="H719" s="58" cm="1">
        <f t="array" ref="H719">YEAR(A719)</f>
        <v>2025</v>
      </c>
      <c r="I719" t="str" s="60" cm="1">
        <f t="array" ref="I719">"Q"&amp;ROUNDUP(MONTH(A719)/3,0)</f>
        <v>Q4</v>
      </c>
      <c r="J719" t="s" s="57">
        <v>62</v>
      </c>
    </row>
    <row r="720" ht="13.55" customHeight="1">
      <c r="A720" s="51">
        <v>46020</v>
      </c>
      <c r="B720" t="s" s="52">
        <v>23</v>
      </c>
      <c r="C720" t="s" s="52">
        <v>78</v>
      </c>
      <c r="D720" t="s" s="52">
        <v>16</v>
      </c>
      <c r="E720" s="53">
        <v>9</v>
      </c>
      <c r="F720" s="54">
        <v>43134</v>
      </c>
      <c r="G720" s="54" cm="1">
        <f t="array" ref="G720">E720*F720</f>
        <v>388206</v>
      </c>
      <c r="H720" s="53" cm="1">
        <f t="array" ref="H720">YEAR(A720)</f>
        <v>2025</v>
      </c>
      <c r="I720" t="str" s="55" cm="1">
        <f t="array" ref="I720">"Q"&amp;ROUNDUP(MONTH(A720)/3,0)</f>
        <v>Q4</v>
      </c>
      <c r="J720" t="s" s="52">
        <v>62</v>
      </c>
    </row>
    <row r="721" ht="13.55" customHeight="1">
      <c r="A721" s="56">
        <v>46021</v>
      </c>
      <c r="B721" t="s" s="57">
        <v>21</v>
      </c>
      <c r="C721" t="s" s="57">
        <v>78</v>
      </c>
      <c r="D721" t="s" s="57">
        <v>18</v>
      </c>
      <c r="E721" s="58">
        <v>8</v>
      </c>
      <c r="F721" s="59">
        <v>67956</v>
      </c>
      <c r="G721" s="59" cm="1">
        <f t="array" ref="G721">E721*F721</f>
        <v>543648</v>
      </c>
      <c r="H721" s="58" cm="1">
        <f t="array" ref="H721">YEAR(A721)</f>
        <v>2025</v>
      </c>
      <c r="I721" t="str" s="60" cm="1">
        <f t="array" ref="I721">"Q"&amp;ROUNDUP(MONTH(A721)/3,0)</f>
        <v>Q4</v>
      </c>
      <c r="J721" t="s" s="57">
        <v>62</v>
      </c>
    </row>
    <row r="722" ht="13.55" customHeight="1">
      <c r="A722" s="51">
        <v>46021</v>
      </c>
      <c r="B722" t="s" s="52">
        <v>20</v>
      </c>
      <c r="C722" t="s" s="52">
        <v>84</v>
      </c>
      <c r="D722" t="s" s="52">
        <v>17</v>
      </c>
      <c r="E722" s="53">
        <v>10</v>
      </c>
      <c r="F722" s="54">
        <v>47215</v>
      </c>
      <c r="G722" s="54" cm="1">
        <f t="array" ref="G722">E722*F722</f>
        <v>472150</v>
      </c>
      <c r="H722" s="53" cm="1">
        <f t="array" ref="H722">YEAR(A722)</f>
        <v>2025</v>
      </c>
      <c r="I722" t="str" s="55" cm="1">
        <f t="array" ref="I722">"Q"&amp;ROUNDUP(MONTH(A722)/3,0)</f>
        <v>Q4</v>
      </c>
      <c r="J722" t="s" s="52">
        <v>62</v>
      </c>
    </row>
    <row r="723" ht="13.55" customHeight="1">
      <c r="A723" s="56">
        <v>46023</v>
      </c>
      <c r="B723" t="s" s="57">
        <v>20</v>
      </c>
      <c r="C723" t="s" s="57">
        <v>78</v>
      </c>
      <c r="D723" t="s" s="57">
        <v>16</v>
      </c>
      <c r="E723" s="58">
        <v>6</v>
      </c>
      <c r="F723" s="59">
        <v>18699</v>
      </c>
      <c r="G723" s="59" cm="1">
        <f t="array" ref="G723">E723*F723</f>
        <v>112194</v>
      </c>
      <c r="H723" s="58" cm="1">
        <f t="array" ref="H723">YEAR(A723)</f>
        <v>2026</v>
      </c>
      <c r="I723" t="str" s="60" cm="1">
        <f t="array" ref="I723">"Q"&amp;ROUNDUP(MONTH(A723)/3,0)</f>
        <v>Q1</v>
      </c>
      <c r="J723" t="s" s="57">
        <v>63</v>
      </c>
    </row>
    <row r="724" ht="13.55" customHeight="1">
      <c r="A724" s="51">
        <v>46023</v>
      </c>
      <c r="B724" t="s" s="52">
        <v>20</v>
      </c>
      <c r="C724" t="s" s="52">
        <v>84</v>
      </c>
      <c r="D724" t="s" s="52">
        <v>18</v>
      </c>
      <c r="E724" s="53">
        <v>19</v>
      </c>
      <c r="F724" s="54">
        <v>63219</v>
      </c>
      <c r="G724" s="54" cm="1">
        <f t="array" ref="G724">E724*F724</f>
        <v>1201161</v>
      </c>
      <c r="H724" s="53" cm="1">
        <f t="array" ref="H724">YEAR(A724)</f>
        <v>2026</v>
      </c>
      <c r="I724" t="str" s="55" cm="1">
        <f t="array" ref="I724">"Q"&amp;ROUNDUP(MONTH(A724)/3,0)</f>
        <v>Q1</v>
      </c>
      <c r="J724" t="s" s="52">
        <v>63</v>
      </c>
    </row>
    <row r="725" ht="13.55" customHeight="1">
      <c r="A725" s="56">
        <v>46024</v>
      </c>
      <c r="B725" t="s" s="57">
        <v>20</v>
      </c>
      <c r="C725" t="s" s="57">
        <v>83</v>
      </c>
      <c r="D725" t="s" s="57">
        <v>16</v>
      </c>
      <c r="E725" s="58">
        <v>13</v>
      </c>
      <c r="F725" s="59">
        <v>76088</v>
      </c>
      <c r="G725" s="59" cm="1">
        <f t="array" ref="G725">E725*F725</f>
        <v>989144</v>
      </c>
      <c r="H725" s="58" cm="1">
        <f t="array" ref="H725">YEAR(A725)</f>
        <v>2026</v>
      </c>
      <c r="I725" t="str" s="60" cm="1">
        <f t="array" ref="I725">"Q"&amp;ROUNDUP(MONTH(A725)/3,0)</f>
        <v>Q1</v>
      </c>
      <c r="J725" t="s" s="57">
        <v>63</v>
      </c>
    </row>
    <row r="726" ht="13.55" customHeight="1">
      <c r="A726" s="51">
        <v>46025</v>
      </c>
      <c r="B726" t="s" s="52">
        <v>22</v>
      </c>
      <c r="C726" t="s" s="52">
        <v>81</v>
      </c>
      <c r="D726" t="s" s="52">
        <v>16</v>
      </c>
      <c r="E726" s="53">
        <v>11</v>
      </c>
      <c r="F726" s="54">
        <v>34932</v>
      </c>
      <c r="G726" s="54" cm="1">
        <f t="array" ref="G726">E726*F726</f>
        <v>384252</v>
      </c>
      <c r="H726" s="53" cm="1">
        <f t="array" ref="H726">YEAR(A726)</f>
        <v>2026</v>
      </c>
      <c r="I726" t="str" s="55" cm="1">
        <f t="array" ref="I726">"Q"&amp;ROUNDUP(MONTH(A726)/3,0)</f>
        <v>Q1</v>
      </c>
      <c r="J726" t="s" s="52">
        <v>63</v>
      </c>
    </row>
    <row r="727" ht="13.55" customHeight="1">
      <c r="A727" s="56">
        <v>46025</v>
      </c>
      <c r="B727" t="s" s="57">
        <v>22</v>
      </c>
      <c r="C727" t="s" s="57">
        <v>78</v>
      </c>
      <c r="D727" t="s" s="57">
        <v>15</v>
      </c>
      <c r="E727" s="58">
        <v>15</v>
      </c>
      <c r="F727" s="59">
        <v>61358</v>
      </c>
      <c r="G727" s="59" cm="1">
        <f t="array" ref="G727">E727*F727</f>
        <v>920370</v>
      </c>
      <c r="H727" s="58" cm="1">
        <f t="array" ref="H727">YEAR(A727)</f>
        <v>2026</v>
      </c>
      <c r="I727" t="str" s="60" cm="1">
        <f t="array" ref="I727">"Q"&amp;ROUNDUP(MONTH(A727)/3,0)</f>
        <v>Q1</v>
      </c>
      <c r="J727" t="s" s="57">
        <v>63</v>
      </c>
    </row>
    <row r="728" ht="13.55" customHeight="1">
      <c r="A728" s="51">
        <v>46026</v>
      </c>
      <c r="B728" t="s" s="52">
        <v>20</v>
      </c>
      <c r="C728" t="s" s="52">
        <v>82</v>
      </c>
      <c r="D728" t="s" s="52">
        <v>17</v>
      </c>
      <c r="E728" s="53">
        <v>13</v>
      </c>
      <c r="F728" s="54">
        <v>49523</v>
      </c>
      <c r="G728" s="54" cm="1">
        <f t="array" ref="G728">E728*F728</f>
        <v>643799</v>
      </c>
      <c r="H728" s="53" cm="1">
        <f t="array" ref="H728">YEAR(A728)</f>
        <v>2026</v>
      </c>
      <c r="I728" t="str" s="55" cm="1">
        <f t="array" ref="I728">"Q"&amp;ROUNDUP(MONTH(A728)/3,0)</f>
        <v>Q1</v>
      </c>
      <c r="J728" t="s" s="52">
        <v>63</v>
      </c>
    </row>
    <row r="729" ht="13.55" customHeight="1">
      <c r="A729" s="56">
        <v>46026</v>
      </c>
      <c r="B729" t="s" s="57">
        <v>22</v>
      </c>
      <c r="C729" t="s" s="57">
        <v>80</v>
      </c>
      <c r="D729" t="s" s="57">
        <v>17</v>
      </c>
      <c r="E729" s="58">
        <v>10</v>
      </c>
      <c r="F729" s="59">
        <v>34877</v>
      </c>
      <c r="G729" s="59" cm="1">
        <f t="array" ref="G729">E729*F729</f>
        <v>348770</v>
      </c>
      <c r="H729" s="58" cm="1">
        <f t="array" ref="H729">YEAR(A729)</f>
        <v>2026</v>
      </c>
      <c r="I729" t="str" s="60" cm="1">
        <f t="array" ref="I729">"Q"&amp;ROUNDUP(MONTH(A729)/3,0)</f>
        <v>Q1</v>
      </c>
      <c r="J729" t="s" s="57">
        <v>63</v>
      </c>
    </row>
    <row r="730" ht="13.55" customHeight="1">
      <c r="A730" s="51">
        <v>46027</v>
      </c>
      <c r="B730" t="s" s="52">
        <v>22</v>
      </c>
      <c r="C730" t="s" s="52">
        <v>80</v>
      </c>
      <c r="D730" t="s" s="52">
        <v>15</v>
      </c>
      <c r="E730" s="53">
        <v>11</v>
      </c>
      <c r="F730" s="54">
        <v>63817</v>
      </c>
      <c r="G730" s="54" cm="1">
        <f t="array" ref="G730">E730*F730</f>
        <v>701987</v>
      </c>
      <c r="H730" s="53" cm="1">
        <f t="array" ref="H730">YEAR(A730)</f>
        <v>2026</v>
      </c>
      <c r="I730" t="str" s="55" cm="1">
        <f t="array" ref="I730">"Q"&amp;ROUNDUP(MONTH(A730)/3,0)</f>
        <v>Q1</v>
      </c>
      <c r="J730" t="s" s="52">
        <v>63</v>
      </c>
    </row>
    <row r="731" ht="13.55" customHeight="1">
      <c r="A731" s="56">
        <v>46027</v>
      </c>
      <c r="B731" t="s" s="57">
        <v>22</v>
      </c>
      <c r="C731" t="s" s="57">
        <v>78</v>
      </c>
      <c r="D731" t="s" s="57">
        <v>18</v>
      </c>
      <c r="E731" s="58">
        <v>1</v>
      </c>
      <c r="F731" s="59">
        <v>51999</v>
      </c>
      <c r="G731" s="59" cm="1">
        <f t="array" ref="G731">E731*F731</f>
        <v>51999</v>
      </c>
      <c r="H731" s="58" cm="1">
        <f t="array" ref="H731">YEAR(A731)</f>
        <v>2026</v>
      </c>
      <c r="I731" t="str" s="60" cm="1">
        <f t="array" ref="I731">"Q"&amp;ROUNDUP(MONTH(A731)/3,0)</f>
        <v>Q1</v>
      </c>
      <c r="J731" t="s" s="57">
        <v>63</v>
      </c>
    </row>
    <row r="732" ht="13.55" customHeight="1">
      <c r="A732" s="51">
        <v>46027</v>
      </c>
      <c r="B732" t="s" s="52">
        <v>21</v>
      </c>
      <c r="C732" t="s" s="52">
        <v>83</v>
      </c>
      <c r="D732" t="s" s="52">
        <v>16</v>
      </c>
      <c r="E732" s="53">
        <v>18</v>
      </c>
      <c r="F732" s="54">
        <v>9434</v>
      </c>
      <c r="G732" s="54" cm="1">
        <f t="array" ref="G732">E732*F732</f>
        <v>169812</v>
      </c>
      <c r="H732" s="53" cm="1">
        <f t="array" ref="H732">YEAR(A732)</f>
        <v>2026</v>
      </c>
      <c r="I732" t="str" s="55" cm="1">
        <f t="array" ref="I732">"Q"&amp;ROUNDUP(MONTH(A732)/3,0)</f>
        <v>Q1</v>
      </c>
      <c r="J732" t="s" s="52">
        <v>63</v>
      </c>
    </row>
    <row r="733" ht="13.55" customHeight="1">
      <c r="A733" s="56">
        <v>46030</v>
      </c>
      <c r="B733" t="s" s="57">
        <v>21</v>
      </c>
      <c r="C733" t="s" s="57">
        <v>78</v>
      </c>
      <c r="D733" t="s" s="57">
        <v>17</v>
      </c>
      <c r="E733" s="58">
        <v>8</v>
      </c>
      <c r="F733" s="59">
        <v>36174</v>
      </c>
      <c r="G733" s="59" cm="1">
        <f t="array" ref="G733">E733*F733</f>
        <v>289392</v>
      </c>
      <c r="H733" s="58" cm="1">
        <f t="array" ref="H733">YEAR(A733)</f>
        <v>2026</v>
      </c>
      <c r="I733" t="str" s="60" cm="1">
        <f t="array" ref="I733">"Q"&amp;ROUNDUP(MONTH(A733)/3,0)</f>
        <v>Q1</v>
      </c>
      <c r="J733" t="s" s="57">
        <v>63</v>
      </c>
    </row>
    <row r="734" ht="13.55" customHeight="1">
      <c r="A734" s="51">
        <v>46030</v>
      </c>
      <c r="B734" t="s" s="52">
        <v>23</v>
      </c>
      <c r="C734" t="s" s="52">
        <v>84</v>
      </c>
      <c r="D734" t="s" s="52">
        <v>18</v>
      </c>
      <c r="E734" s="53">
        <v>19</v>
      </c>
      <c r="F734" s="54">
        <v>50397</v>
      </c>
      <c r="G734" s="54" cm="1">
        <f t="array" ref="G734">E734*F734</f>
        <v>957543</v>
      </c>
      <c r="H734" s="53" cm="1">
        <f t="array" ref="H734">YEAR(A734)</f>
        <v>2026</v>
      </c>
      <c r="I734" t="str" s="55" cm="1">
        <f t="array" ref="I734">"Q"&amp;ROUNDUP(MONTH(A734)/3,0)</f>
        <v>Q1</v>
      </c>
      <c r="J734" t="s" s="52">
        <v>63</v>
      </c>
    </row>
    <row r="735" ht="13.55" customHeight="1">
      <c r="A735" s="56">
        <v>46031</v>
      </c>
      <c r="B735" t="s" s="57">
        <v>22</v>
      </c>
      <c r="C735" t="s" s="57">
        <v>80</v>
      </c>
      <c r="D735" t="s" s="57">
        <v>17</v>
      </c>
      <c r="E735" s="58">
        <v>8</v>
      </c>
      <c r="F735" s="59">
        <v>33807</v>
      </c>
      <c r="G735" s="59" cm="1">
        <f t="array" ref="G735">E735*F735</f>
        <v>270456</v>
      </c>
      <c r="H735" s="58" cm="1">
        <f t="array" ref="H735">YEAR(A735)</f>
        <v>2026</v>
      </c>
      <c r="I735" t="str" s="60" cm="1">
        <f t="array" ref="I735">"Q"&amp;ROUNDUP(MONTH(A735)/3,0)</f>
        <v>Q1</v>
      </c>
      <c r="J735" t="s" s="57">
        <v>63</v>
      </c>
    </row>
    <row r="736" ht="13.55" customHeight="1">
      <c r="A736" s="51">
        <v>46032</v>
      </c>
      <c r="B736" t="s" s="52">
        <v>20</v>
      </c>
      <c r="C736" t="s" s="52">
        <v>82</v>
      </c>
      <c r="D736" t="s" s="52">
        <v>15</v>
      </c>
      <c r="E736" s="53">
        <v>3</v>
      </c>
      <c r="F736" s="54">
        <v>27765</v>
      </c>
      <c r="G736" s="54" cm="1">
        <f t="array" ref="G736">E736*F736</f>
        <v>83295</v>
      </c>
      <c r="H736" s="53" cm="1">
        <f t="array" ref="H736">YEAR(A736)</f>
        <v>2026</v>
      </c>
      <c r="I736" t="str" s="55" cm="1">
        <f t="array" ref="I736">"Q"&amp;ROUNDUP(MONTH(A736)/3,0)</f>
        <v>Q1</v>
      </c>
      <c r="J736" t="s" s="52">
        <v>63</v>
      </c>
    </row>
    <row r="737" ht="13.55" customHeight="1">
      <c r="A737" s="56">
        <v>46034</v>
      </c>
      <c r="B737" t="s" s="57">
        <v>20</v>
      </c>
      <c r="C737" t="s" s="57">
        <v>80</v>
      </c>
      <c r="D737" t="s" s="57">
        <v>18</v>
      </c>
      <c r="E737" s="58">
        <v>1</v>
      </c>
      <c r="F737" s="59">
        <v>35816</v>
      </c>
      <c r="G737" s="59" cm="1">
        <f t="array" ref="G737">E737*F737</f>
        <v>35816</v>
      </c>
      <c r="H737" s="58" cm="1">
        <f t="array" ref="H737">YEAR(A737)</f>
        <v>2026</v>
      </c>
      <c r="I737" t="str" s="60" cm="1">
        <f t="array" ref="I737">"Q"&amp;ROUNDUP(MONTH(A737)/3,0)</f>
        <v>Q1</v>
      </c>
      <c r="J737" t="s" s="57">
        <v>63</v>
      </c>
    </row>
    <row r="738" ht="13.55" customHeight="1">
      <c r="A738" s="51">
        <v>46036</v>
      </c>
      <c r="B738" t="s" s="52">
        <v>22</v>
      </c>
      <c r="C738" t="s" s="52">
        <v>82</v>
      </c>
      <c r="D738" t="s" s="52">
        <v>17</v>
      </c>
      <c r="E738" s="53">
        <v>3</v>
      </c>
      <c r="F738" s="54">
        <v>10618</v>
      </c>
      <c r="G738" s="54" cm="1">
        <f t="array" ref="G738">E738*F738</f>
        <v>31854</v>
      </c>
      <c r="H738" s="53" cm="1">
        <f t="array" ref="H738">YEAR(A738)</f>
        <v>2026</v>
      </c>
      <c r="I738" t="str" s="55" cm="1">
        <f t="array" ref="I738">"Q"&amp;ROUNDUP(MONTH(A738)/3,0)</f>
        <v>Q1</v>
      </c>
      <c r="J738" t="s" s="52">
        <v>63</v>
      </c>
    </row>
    <row r="739" ht="13.55" customHeight="1">
      <c r="A739" s="56">
        <v>46036</v>
      </c>
      <c r="B739" t="s" s="57">
        <v>21</v>
      </c>
      <c r="C739" t="s" s="57">
        <v>80</v>
      </c>
      <c r="D739" t="s" s="57">
        <v>17</v>
      </c>
      <c r="E739" s="58">
        <v>17</v>
      </c>
      <c r="F739" s="59">
        <v>77374</v>
      </c>
      <c r="G739" s="59" cm="1">
        <f t="array" ref="G739">E739*F739</f>
        <v>1315358</v>
      </c>
      <c r="H739" s="58" cm="1">
        <f t="array" ref="H739">YEAR(A739)</f>
        <v>2026</v>
      </c>
      <c r="I739" t="str" s="60" cm="1">
        <f t="array" ref="I739">"Q"&amp;ROUNDUP(MONTH(A739)/3,0)</f>
        <v>Q1</v>
      </c>
      <c r="J739" t="s" s="57">
        <v>63</v>
      </c>
    </row>
    <row r="740" ht="13.55" customHeight="1">
      <c r="A740" s="51">
        <v>46039</v>
      </c>
      <c r="B740" t="s" s="52">
        <v>21</v>
      </c>
      <c r="C740" t="s" s="52">
        <v>81</v>
      </c>
      <c r="D740" t="s" s="52">
        <v>17</v>
      </c>
      <c r="E740" s="53">
        <v>14</v>
      </c>
      <c r="F740" s="54">
        <v>37088</v>
      </c>
      <c r="G740" s="54" cm="1">
        <f t="array" ref="G740">E740*F740</f>
        <v>519232</v>
      </c>
      <c r="H740" s="53" cm="1">
        <f t="array" ref="H740">YEAR(A740)</f>
        <v>2026</v>
      </c>
      <c r="I740" t="str" s="55" cm="1">
        <f t="array" ref="I740">"Q"&amp;ROUNDUP(MONTH(A740)/3,0)</f>
        <v>Q1</v>
      </c>
      <c r="J740" t="s" s="52">
        <v>63</v>
      </c>
    </row>
    <row r="741" ht="13.55" customHeight="1">
      <c r="A741" s="56">
        <v>46040</v>
      </c>
      <c r="B741" t="s" s="57">
        <v>21</v>
      </c>
      <c r="C741" t="s" s="57">
        <v>83</v>
      </c>
      <c r="D741" t="s" s="57">
        <v>17</v>
      </c>
      <c r="E741" s="58">
        <v>12</v>
      </c>
      <c r="F741" s="59">
        <v>63671</v>
      </c>
      <c r="G741" s="59" cm="1">
        <f t="array" ref="G741">E741*F741</f>
        <v>764052</v>
      </c>
      <c r="H741" s="58" cm="1">
        <f t="array" ref="H741">YEAR(A741)</f>
        <v>2026</v>
      </c>
      <c r="I741" t="str" s="60" cm="1">
        <f t="array" ref="I741">"Q"&amp;ROUNDUP(MONTH(A741)/3,0)</f>
        <v>Q1</v>
      </c>
      <c r="J741" t="s" s="57">
        <v>63</v>
      </c>
    </row>
    <row r="742" ht="13.55" customHeight="1">
      <c r="A742" s="51">
        <v>46040</v>
      </c>
      <c r="B742" t="s" s="52">
        <v>20</v>
      </c>
      <c r="C742" t="s" s="52">
        <v>81</v>
      </c>
      <c r="D742" t="s" s="52">
        <v>17</v>
      </c>
      <c r="E742" s="53">
        <v>12</v>
      </c>
      <c r="F742" s="54">
        <v>11968</v>
      </c>
      <c r="G742" s="54" cm="1">
        <f t="array" ref="G742">E742*F742</f>
        <v>143616</v>
      </c>
      <c r="H742" s="53" cm="1">
        <f t="array" ref="H742">YEAR(A742)</f>
        <v>2026</v>
      </c>
      <c r="I742" t="str" s="55" cm="1">
        <f t="array" ref="I742">"Q"&amp;ROUNDUP(MONTH(A742)/3,0)</f>
        <v>Q1</v>
      </c>
      <c r="J742" t="s" s="52">
        <v>63</v>
      </c>
    </row>
    <row r="743" ht="13.55" customHeight="1">
      <c r="A743" s="56">
        <v>46041</v>
      </c>
      <c r="B743" t="s" s="57">
        <v>21</v>
      </c>
      <c r="C743" t="s" s="57">
        <v>81</v>
      </c>
      <c r="D743" t="s" s="57">
        <v>17</v>
      </c>
      <c r="E743" s="58">
        <v>3</v>
      </c>
      <c r="F743" s="59">
        <v>79842</v>
      </c>
      <c r="G743" s="59" cm="1">
        <f t="array" ref="G743">E743*F743</f>
        <v>239526</v>
      </c>
      <c r="H743" s="58" cm="1">
        <f t="array" ref="H743">YEAR(A743)</f>
        <v>2026</v>
      </c>
      <c r="I743" t="str" s="60" cm="1">
        <f t="array" ref="I743">"Q"&amp;ROUNDUP(MONTH(A743)/3,0)</f>
        <v>Q1</v>
      </c>
      <c r="J743" t="s" s="57">
        <v>63</v>
      </c>
    </row>
    <row r="744" ht="13.55" customHeight="1">
      <c r="A744" s="51">
        <v>46041</v>
      </c>
      <c r="B744" t="s" s="52">
        <v>23</v>
      </c>
      <c r="C744" t="s" s="52">
        <v>82</v>
      </c>
      <c r="D744" t="s" s="52">
        <v>17</v>
      </c>
      <c r="E744" s="53">
        <v>1</v>
      </c>
      <c r="F744" s="54">
        <v>42842</v>
      </c>
      <c r="G744" s="54" cm="1">
        <f t="array" ref="G744">E744*F744</f>
        <v>42842</v>
      </c>
      <c r="H744" s="53" cm="1">
        <f t="array" ref="H744">YEAR(A744)</f>
        <v>2026</v>
      </c>
      <c r="I744" t="str" s="55" cm="1">
        <f t="array" ref="I744">"Q"&amp;ROUNDUP(MONTH(A744)/3,0)</f>
        <v>Q1</v>
      </c>
      <c r="J744" t="s" s="52">
        <v>63</v>
      </c>
    </row>
    <row r="745" ht="13.55" customHeight="1">
      <c r="A745" s="56">
        <v>46042</v>
      </c>
      <c r="B745" t="s" s="57">
        <v>21</v>
      </c>
      <c r="C745" t="s" s="57">
        <v>80</v>
      </c>
      <c r="D745" t="s" s="57">
        <v>18</v>
      </c>
      <c r="E745" s="58">
        <v>11</v>
      </c>
      <c r="F745" s="59">
        <v>39812</v>
      </c>
      <c r="G745" s="59" cm="1">
        <f t="array" ref="G745">E745*F745</f>
        <v>437932</v>
      </c>
      <c r="H745" s="58" cm="1">
        <f t="array" ref="H745">YEAR(A745)</f>
        <v>2026</v>
      </c>
      <c r="I745" t="str" s="60" cm="1">
        <f t="array" ref="I745">"Q"&amp;ROUNDUP(MONTH(A745)/3,0)</f>
        <v>Q1</v>
      </c>
      <c r="J745" t="s" s="57">
        <v>63</v>
      </c>
    </row>
    <row r="746" ht="13.55" customHeight="1">
      <c r="A746" s="51">
        <v>46042</v>
      </c>
      <c r="B746" t="s" s="52">
        <v>22</v>
      </c>
      <c r="C746" t="s" s="52">
        <v>84</v>
      </c>
      <c r="D746" t="s" s="52">
        <v>17</v>
      </c>
      <c r="E746" s="53">
        <v>12</v>
      </c>
      <c r="F746" s="54">
        <v>75744</v>
      </c>
      <c r="G746" s="54" cm="1">
        <f t="array" ref="G746">E746*F746</f>
        <v>908928</v>
      </c>
      <c r="H746" s="53" cm="1">
        <f t="array" ref="H746">YEAR(A746)</f>
        <v>2026</v>
      </c>
      <c r="I746" t="str" s="55" cm="1">
        <f t="array" ref="I746">"Q"&amp;ROUNDUP(MONTH(A746)/3,0)</f>
        <v>Q1</v>
      </c>
      <c r="J746" t="s" s="52">
        <v>63</v>
      </c>
    </row>
    <row r="747" ht="13.55" customHeight="1">
      <c r="A747" s="56">
        <v>46043</v>
      </c>
      <c r="B747" t="s" s="57">
        <v>20</v>
      </c>
      <c r="C747" t="s" s="57">
        <v>78</v>
      </c>
      <c r="D747" t="s" s="57">
        <v>17</v>
      </c>
      <c r="E747" s="58">
        <v>12</v>
      </c>
      <c r="F747" s="59">
        <v>40186</v>
      </c>
      <c r="G747" s="59" cm="1">
        <f t="array" ref="G747">E747*F747</f>
        <v>482232</v>
      </c>
      <c r="H747" s="58" cm="1">
        <f t="array" ref="H747">YEAR(A747)</f>
        <v>2026</v>
      </c>
      <c r="I747" t="str" s="60" cm="1">
        <f t="array" ref="I747">"Q"&amp;ROUNDUP(MONTH(A747)/3,0)</f>
        <v>Q1</v>
      </c>
      <c r="J747" t="s" s="57">
        <v>63</v>
      </c>
    </row>
    <row r="748" ht="13.55" customHeight="1">
      <c r="A748" s="51">
        <v>46043</v>
      </c>
      <c r="B748" t="s" s="52">
        <v>22</v>
      </c>
      <c r="C748" t="s" s="52">
        <v>84</v>
      </c>
      <c r="D748" t="s" s="52">
        <v>16</v>
      </c>
      <c r="E748" s="53">
        <v>4</v>
      </c>
      <c r="F748" s="54">
        <v>31946</v>
      </c>
      <c r="G748" s="54" cm="1">
        <f t="array" ref="G748">E748*F748</f>
        <v>127784</v>
      </c>
      <c r="H748" s="53" cm="1">
        <f t="array" ref="H748">YEAR(A748)</f>
        <v>2026</v>
      </c>
      <c r="I748" t="str" s="55" cm="1">
        <f t="array" ref="I748">"Q"&amp;ROUNDUP(MONTH(A748)/3,0)</f>
        <v>Q1</v>
      </c>
      <c r="J748" t="s" s="52">
        <v>63</v>
      </c>
    </row>
    <row r="749" ht="13.55" customHeight="1">
      <c r="A749" s="56">
        <v>46045</v>
      </c>
      <c r="B749" t="s" s="57">
        <v>23</v>
      </c>
      <c r="C749" t="s" s="57">
        <v>81</v>
      </c>
      <c r="D749" t="s" s="57">
        <v>17</v>
      </c>
      <c r="E749" s="58">
        <v>6</v>
      </c>
      <c r="F749" s="59">
        <v>77307</v>
      </c>
      <c r="G749" s="59" cm="1">
        <f t="array" ref="G749">E749*F749</f>
        <v>463842</v>
      </c>
      <c r="H749" s="58" cm="1">
        <f t="array" ref="H749">YEAR(A749)</f>
        <v>2026</v>
      </c>
      <c r="I749" t="str" s="60" cm="1">
        <f t="array" ref="I749">"Q"&amp;ROUNDUP(MONTH(A749)/3,0)</f>
        <v>Q1</v>
      </c>
      <c r="J749" t="s" s="57">
        <v>63</v>
      </c>
    </row>
    <row r="750" ht="13.55" customHeight="1">
      <c r="A750" s="51">
        <v>46045</v>
      </c>
      <c r="B750" t="s" s="52">
        <v>23</v>
      </c>
      <c r="C750" t="s" s="52">
        <v>82</v>
      </c>
      <c r="D750" t="s" s="52">
        <v>16</v>
      </c>
      <c r="E750" s="53">
        <v>4</v>
      </c>
      <c r="F750" s="54">
        <v>74497</v>
      </c>
      <c r="G750" s="54" cm="1">
        <f t="array" ref="G750">E750*F750</f>
        <v>297988</v>
      </c>
      <c r="H750" s="53" cm="1">
        <f t="array" ref="H750">YEAR(A750)</f>
        <v>2026</v>
      </c>
      <c r="I750" t="str" s="55" cm="1">
        <f t="array" ref="I750">"Q"&amp;ROUNDUP(MONTH(A750)/3,0)</f>
        <v>Q1</v>
      </c>
      <c r="J750" t="s" s="52">
        <v>63</v>
      </c>
    </row>
    <row r="751" ht="13.55" customHeight="1">
      <c r="A751" s="56">
        <v>46049</v>
      </c>
      <c r="B751" t="s" s="57">
        <v>20</v>
      </c>
      <c r="C751" t="s" s="57">
        <v>78</v>
      </c>
      <c r="D751" t="s" s="57">
        <v>16</v>
      </c>
      <c r="E751" s="58">
        <v>4</v>
      </c>
      <c r="F751" s="59">
        <v>13263</v>
      </c>
      <c r="G751" s="59" cm="1">
        <f t="array" ref="G751">E751*F751</f>
        <v>53052</v>
      </c>
      <c r="H751" s="58" cm="1">
        <f t="array" ref="H751">YEAR(A751)</f>
        <v>2026</v>
      </c>
      <c r="I751" t="str" s="60" cm="1">
        <f t="array" ref="I751">"Q"&amp;ROUNDUP(MONTH(A751)/3,0)</f>
        <v>Q1</v>
      </c>
      <c r="J751" t="s" s="57">
        <v>63</v>
      </c>
    </row>
    <row r="752" ht="13.55" customHeight="1">
      <c r="A752" s="51">
        <v>46050</v>
      </c>
      <c r="B752" t="s" s="52">
        <v>23</v>
      </c>
      <c r="C752" t="s" s="52">
        <v>82</v>
      </c>
      <c r="D752" t="s" s="52">
        <v>16</v>
      </c>
      <c r="E752" s="53">
        <v>8</v>
      </c>
      <c r="F752" s="54">
        <v>58027</v>
      </c>
      <c r="G752" s="54" cm="1">
        <f t="array" ref="G752">E752*F752</f>
        <v>464216</v>
      </c>
      <c r="H752" s="53" cm="1">
        <f t="array" ref="H752">YEAR(A752)</f>
        <v>2026</v>
      </c>
      <c r="I752" t="str" s="55" cm="1">
        <f t="array" ref="I752">"Q"&amp;ROUNDUP(MONTH(A752)/3,0)</f>
        <v>Q1</v>
      </c>
      <c r="J752" t="s" s="52">
        <v>63</v>
      </c>
    </row>
    <row r="753" ht="13.55" customHeight="1">
      <c r="A753" s="56">
        <v>46050</v>
      </c>
      <c r="B753" t="s" s="57">
        <v>23</v>
      </c>
      <c r="C753" t="s" s="57">
        <v>81</v>
      </c>
      <c r="D753" t="s" s="57">
        <v>17</v>
      </c>
      <c r="E753" s="58">
        <v>17</v>
      </c>
      <c r="F753" s="59">
        <v>16669</v>
      </c>
      <c r="G753" s="59" cm="1">
        <f t="array" ref="G753">E753*F753</f>
        <v>283373</v>
      </c>
      <c r="H753" s="58" cm="1">
        <f t="array" ref="H753">YEAR(A753)</f>
        <v>2026</v>
      </c>
      <c r="I753" t="str" s="60" cm="1">
        <f t="array" ref="I753">"Q"&amp;ROUNDUP(MONTH(A753)/3,0)</f>
        <v>Q1</v>
      </c>
      <c r="J753" t="s" s="57">
        <v>63</v>
      </c>
    </row>
    <row r="754" ht="13.55" customHeight="1">
      <c r="A754" s="51">
        <v>46052</v>
      </c>
      <c r="B754" t="s" s="52">
        <v>23</v>
      </c>
      <c r="C754" t="s" s="52">
        <v>81</v>
      </c>
      <c r="D754" t="s" s="52">
        <v>17</v>
      </c>
      <c r="E754" s="53">
        <v>4</v>
      </c>
      <c r="F754" s="54">
        <v>63226</v>
      </c>
      <c r="G754" s="54" cm="1">
        <f t="array" ref="G754">E754*F754</f>
        <v>252904</v>
      </c>
      <c r="H754" s="53" cm="1">
        <f t="array" ref="H754">YEAR(A754)</f>
        <v>2026</v>
      </c>
      <c r="I754" t="str" s="55" cm="1">
        <f t="array" ref="I754">"Q"&amp;ROUNDUP(MONTH(A754)/3,0)</f>
        <v>Q1</v>
      </c>
      <c r="J754" t="s" s="52">
        <v>63</v>
      </c>
    </row>
    <row r="755" ht="13.55" customHeight="1">
      <c r="A755" s="56">
        <v>46053</v>
      </c>
      <c r="B755" t="s" s="57">
        <v>20</v>
      </c>
      <c r="C755" t="s" s="57">
        <v>81</v>
      </c>
      <c r="D755" t="s" s="57">
        <v>15</v>
      </c>
      <c r="E755" s="58">
        <v>8</v>
      </c>
      <c r="F755" s="59">
        <v>68909</v>
      </c>
      <c r="G755" s="59" cm="1">
        <f t="array" ref="G755">E755*F755</f>
        <v>551272</v>
      </c>
      <c r="H755" s="58" cm="1">
        <f t="array" ref="H755">YEAR(A755)</f>
        <v>2026</v>
      </c>
      <c r="I755" t="str" s="60" cm="1">
        <f t="array" ref="I755">"Q"&amp;ROUNDUP(MONTH(A755)/3,0)</f>
        <v>Q1</v>
      </c>
      <c r="J755" t="s" s="57">
        <v>63</v>
      </c>
    </row>
    <row r="756" ht="13.55" customHeight="1">
      <c r="A756" s="51">
        <v>46053</v>
      </c>
      <c r="B756" t="s" s="52">
        <v>23</v>
      </c>
      <c r="C756" t="s" s="52">
        <v>81</v>
      </c>
      <c r="D756" t="s" s="52">
        <v>16</v>
      </c>
      <c r="E756" s="53">
        <v>15</v>
      </c>
      <c r="F756" s="54">
        <v>14018</v>
      </c>
      <c r="G756" s="54" cm="1">
        <f t="array" ref="G756">E756*F756</f>
        <v>210270</v>
      </c>
      <c r="H756" s="53" cm="1">
        <f t="array" ref="H756">YEAR(A756)</f>
        <v>2026</v>
      </c>
      <c r="I756" t="str" s="55" cm="1">
        <f t="array" ref="I756">"Q"&amp;ROUNDUP(MONTH(A756)/3,0)</f>
        <v>Q1</v>
      </c>
      <c r="J756" t="s" s="52">
        <v>63</v>
      </c>
    </row>
    <row r="757" ht="13.55" customHeight="1">
      <c r="A757" s="56">
        <v>46055</v>
      </c>
      <c r="B757" t="s" s="57">
        <v>22</v>
      </c>
      <c r="C757" t="s" s="57">
        <v>82</v>
      </c>
      <c r="D757" t="s" s="57">
        <v>17</v>
      </c>
      <c r="E757" s="58">
        <v>4</v>
      </c>
      <c r="F757" s="59">
        <v>22369</v>
      </c>
      <c r="G757" s="59" cm="1">
        <f t="array" ref="G757">E757*F757</f>
        <v>89476</v>
      </c>
      <c r="H757" s="58" cm="1">
        <f t="array" ref="H757">YEAR(A757)</f>
        <v>2026</v>
      </c>
      <c r="I757" t="str" s="60" cm="1">
        <f t="array" ref="I757">"Q"&amp;ROUNDUP(MONTH(A757)/3,0)</f>
        <v>Q1</v>
      </c>
      <c r="J757" t="s" s="57">
        <v>64</v>
      </c>
    </row>
    <row r="758" ht="13.55" customHeight="1">
      <c r="A758" s="51">
        <v>46055</v>
      </c>
      <c r="B758" t="s" s="52">
        <v>20</v>
      </c>
      <c r="C758" t="s" s="52">
        <v>82</v>
      </c>
      <c r="D758" t="s" s="52">
        <v>18</v>
      </c>
      <c r="E758" s="53">
        <v>19</v>
      </c>
      <c r="F758" s="54">
        <v>71025</v>
      </c>
      <c r="G758" s="54" cm="1">
        <f t="array" ref="G758">E758*F758</f>
        <v>1349475</v>
      </c>
      <c r="H758" s="53" cm="1">
        <f t="array" ref="H758">YEAR(A758)</f>
        <v>2026</v>
      </c>
      <c r="I758" t="str" s="55" cm="1">
        <f t="array" ref="I758">"Q"&amp;ROUNDUP(MONTH(A758)/3,0)</f>
        <v>Q1</v>
      </c>
      <c r="J758" t="s" s="52">
        <v>64</v>
      </c>
    </row>
    <row r="759" ht="13.55" customHeight="1">
      <c r="A759" s="56">
        <v>46055</v>
      </c>
      <c r="B759" t="s" s="57">
        <v>23</v>
      </c>
      <c r="C759" t="s" s="57">
        <v>83</v>
      </c>
      <c r="D759" t="s" s="57">
        <v>16</v>
      </c>
      <c r="E759" s="58">
        <v>6</v>
      </c>
      <c r="F759" s="59">
        <v>48326</v>
      </c>
      <c r="G759" s="59" cm="1">
        <f t="array" ref="G759">E759*F759</f>
        <v>289956</v>
      </c>
      <c r="H759" s="58" cm="1">
        <f t="array" ref="H759">YEAR(A759)</f>
        <v>2026</v>
      </c>
      <c r="I759" t="str" s="60" cm="1">
        <f t="array" ref="I759">"Q"&amp;ROUNDUP(MONTH(A759)/3,0)</f>
        <v>Q1</v>
      </c>
      <c r="J759" t="s" s="57">
        <v>64</v>
      </c>
    </row>
    <row r="760" ht="13.55" customHeight="1">
      <c r="A760" s="51">
        <v>46055</v>
      </c>
      <c r="B760" t="s" s="52">
        <v>23</v>
      </c>
      <c r="C760" t="s" s="52">
        <v>82</v>
      </c>
      <c r="D760" t="s" s="52">
        <v>16</v>
      </c>
      <c r="E760" s="53">
        <v>2</v>
      </c>
      <c r="F760" s="54">
        <v>38665</v>
      </c>
      <c r="G760" s="54" cm="1">
        <f t="array" ref="G760">E760*F760</f>
        <v>77330</v>
      </c>
      <c r="H760" s="53" cm="1">
        <f t="array" ref="H760">YEAR(A760)</f>
        <v>2026</v>
      </c>
      <c r="I760" t="str" s="55" cm="1">
        <f t="array" ref="I760">"Q"&amp;ROUNDUP(MONTH(A760)/3,0)</f>
        <v>Q1</v>
      </c>
      <c r="J760" t="s" s="52">
        <v>64</v>
      </c>
    </row>
    <row r="761" ht="13.55" customHeight="1">
      <c r="A761" s="56">
        <v>46058</v>
      </c>
      <c r="B761" t="s" s="57">
        <v>20</v>
      </c>
      <c r="C761" t="s" s="57">
        <v>80</v>
      </c>
      <c r="D761" t="s" s="57">
        <v>17</v>
      </c>
      <c r="E761" s="58">
        <v>1</v>
      </c>
      <c r="F761" s="59">
        <v>26225</v>
      </c>
      <c r="G761" s="59" cm="1">
        <f t="array" ref="G761">E761*F761</f>
        <v>26225</v>
      </c>
      <c r="H761" s="58" cm="1">
        <f t="array" ref="H761">YEAR(A761)</f>
        <v>2026</v>
      </c>
      <c r="I761" t="str" s="60" cm="1">
        <f t="array" ref="I761">"Q"&amp;ROUNDUP(MONTH(A761)/3,0)</f>
        <v>Q1</v>
      </c>
      <c r="J761" t="s" s="57">
        <v>64</v>
      </c>
    </row>
    <row r="762" ht="13.55" customHeight="1">
      <c r="A762" s="51">
        <v>46058</v>
      </c>
      <c r="B762" t="s" s="52">
        <v>21</v>
      </c>
      <c r="C762" t="s" s="52">
        <v>84</v>
      </c>
      <c r="D762" t="s" s="52">
        <v>17</v>
      </c>
      <c r="E762" s="53">
        <v>6</v>
      </c>
      <c r="F762" s="54">
        <v>16064</v>
      </c>
      <c r="G762" s="54" cm="1">
        <f t="array" ref="G762">E762*F762</f>
        <v>96384</v>
      </c>
      <c r="H762" s="53" cm="1">
        <f t="array" ref="H762">YEAR(A762)</f>
        <v>2026</v>
      </c>
      <c r="I762" t="str" s="55" cm="1">
        <f t="array" ref="I762">"Q"&amp;ROUNDUP(MONTH(A762)/3,0)</f>
        <v>Q1</v>
      </c>
      <c r="J762" t="s" s="52">
        <v>64</v>
      </c>
    </row>
    <row r="763" ht="13.55" customHeight="1">
      <c r="A763" s="56">
        <v>46060</v>
      </c>
      <c r="B763" t="s" s="57">
        <v>21</v>
      </c>
      <c r="C763" t="s" s="57">
        <v>83</v>
      </c>
      <c r="D763" t="s" s="57">
        <v>16</v>
      </c>
      <c r="E763" s="58">
        <v>9</v>
      </c>
      <c r="F763" s="59">
        <v>24800</v>
      </c>
      <c r="G763" s="59" cm="1">
        <f t="array" ref="G763">E763*F763</f>
        <v>223200</v>
      </c>
      <c r="H763" s="58" cm="1">
        <f t="array" ref="H763">YEAR(A763)</f>
        <v>2026</v>
      </c>
      <c r="I763" t="str" s="60" cm="1">
        <f t="array" ref="I763">"Q"&amp;ROUNDUP(MONTH(A763)/3,0)</f>
        <v>Q1</v>
      </c>
      <c r="J763" t="s" s="57">
        <v>64</v>
      </c>
    </row>
    <row r="764" ht="13.55" customHeight="1">
      <c r="A764" s="51">
        <v>46060</v>
      </c>
      <c r="B764" t="s" s="52">
        <v>20</v>
      </c>
      <c r="C764" t="s" s="52">
        <v>83</v>
      </c>
      <c r="D764" t="s" s="52">
        <v>17</v>
      </c>
      <c r="E764" s="53">
        <v>8</v>
      </c>
      <c r="F764" s="54">
        <v>20954</v>
      </c>
      <c r="G764" s="54" cm="1">
        <f t="array" ref="G764">E764*F764</f>
        <v>167632</v>
      </c>
      <c r="H764" s="53" cm="1">
        <f t="array" ref="H764">YEAR(A764)</f>
        <v>2026</v>
      </c>
      <c r="I764" t="str" s="55" cm="1">
        <f t="array" ref="I764">"Q"&amp;ROUNDUP(MONTH(A764)/3,0)</f>
        <v>Q1</v>
      </c>
      <c r="J764" t="s" s="52">
        <v>64</v>
      </c>
    </row>
    <row r="765" ht="13.55" customHeight="1">
      <c r="A765" s="56">
        <v>46061</v>
      </c>
      <c r="B765" t="s" s="57">
        <v>21</v>
      </c>
      <c r="C765" t="s" s="57">
        <v>84</v>
      </c>
      <c r="D765" t="s" s="57">
        <v>15</v>
      </c>
      <c r="E765" s="58">
        <v>13</v>
      </c>
      <c r="F765" s="59">
        <v>30991</v>
      </c>
      <c r="G765" s="59" cm="1">
        <f t="array" ref="G765">E765*F765</f>
        <v>402883</v>
      </c>
      <c r="H765" s="58" cm="1">
        <f t="array" ref="H765">YEAR(A765)</f>
        <v>2026</v>
      </c>
      <c r="I765" t="str" s="60" cm="1">
        <f t="array" ref="I765">"Q"&amp;ROUNDUP(MONTH(A765)/3,0)</f>
        <v>Q1</v>
      </c>
      <c r="J765" t="s" s="57">
        <v>64</v>
      </c>
    </row>
    <row r="766" ht="13.55" customHeight="1">
      <c r="A766" s="51">
        <v>46062</v>
      </c>
      <c r="B766" t="s" s="52">
        <v>23</v>
      </c>
      <c r="C766" t="s" s="52">
        <v>83</v>
      </c>
      <c r="D766" t="s" s="52">
        <v>16</v>
      </c>
      <c r="E766" s="53">
        <v>3</v>
      </c>
      <c r="F766" s="54">
        <v>69925</v>
      </c>
      <c r="G766" s="54" cm="1">
        <f t="array" ref="G766">E766*F766</f>
        <v>209775</v>
      </c>
      <c r="H766" s="53" cm="1">
        <f t="array" ref="H766">YEAR(A766)</f>
        <v>2026</v>
      </c>
      <c r="I766" t="str" s="55" cm="1">
        <f t="array" ref="I766">"Q"&amp;ROUNDUP(MONTH(A766)/3,0)</f>
        <v>Q1</v>
      </c>
      <c r="J766" t="s" s="52">
        <v>64</v>
      </c>
    </row>
    <row r="767" ht="13.55" customHeight="1">
      <c r="A767" s="56">
        <v>46063</v>
      </c>
      <c r="B767" t="s" s="57">
        <v>22</v>
      </c>
      <c r="C767" t="s" s="57">
        <v>83</v>
      </c>
      <c r="D767" t="s" s="57">
        <v>18</v>
      </c>
      <c r="E767" s="58">
        <v>2</v>
      </c>
      <c r="F767" s="59">
        <v>71395</v>
      </c>
      <c r="G767" s="59" cm="1">
        <f t="array" ref="G767">E767*F767</f>
        <v>142790</v>
      </c>
      <c r="H767" s="58" cm="1">
        <f t="array" ref="H767">YEAR(A767)</f>
        <v>2026</v>
      </c>
      <c r="I767" t="str" s="60" cm="1">
        <f t="array" ref="I767">"Q"&amp;ROUNDUP(MONTH(A767)/3,0)</f>
        <v>Q1</v>
      </c>
      <c r="J767" t="s" s="57">
        <v>64</v>
      </c>
    </row>
    <row r="768" ht="13.55" customHeight="1">
      <c r="A768" s="51">
        <v>46064</v>
      </c>
      <c r="B768" t="s" s="52">
        <v>23</v>
      </c>
      <c r="C768" t="s" s="52">
        <v>81</v>
      </c>
      <c r="D768" t="s" s="52">
        <v>15</v>
      </c>
      <c r="E768" s="53">
        <v>1</v>
      </c>
      <c r="F768" s="54">
        <v>29417</v>
      </c>
      <c r="G768" s="54" cm="1">
        <f t="array" ref="G768">E768*F768</f>
        <v>29417</v>
      </c>
      <c r="H768" s="53" cm="1">
        <f t="array" ref="H768">YEAR(A768)</f>
        <v>2026</v>
      </c>
      <c r="I768" t="str" s="55" cm="1">
        <f t="array" ref="I768">"Q"&amp;ROUNDUP(MONTH(A768)/3,0)</f>
        <v>Q1</v>
      </c>
      <c r="J768" t="s" s="52">
        <v>64</v>
      </c>
    </row>
    <row r="769" ht="13.55" customHeight="1">
      <c r="A769" s="56">
        <v>46065</v>
      </c>
      <c r="B769" t="s" s="57">
        <v>22</v>
      </c>
      <c r="C769" t="s" s="57">
        <v>80</v>
      </c>
      <c r="D769" t="s" s="57">
        <v>18</v>
      </c>
      <c r="E769" s="58">
        <v>9</v>
      </c>
      <c r="F769" s="59">
        <v>62980</v>
      </c>
      <c r="G769" s="59" cm="1">
        <f t="array" ref="G769">E769*F769</f>
        <v>566820</v>
      </c>
      <c r="H769" s="58" cm="1">
        <f t="array" ref="H769">YEAR(A769)</f>
        <v>2026</v>
      </c>
      <c r="I769" t="str" s="60" cm="1">
        <f t="array" ref="I769">"Q"&amp;ROUNDUP(MONTH(A769)/3,0)</f>
        <v>Q1</v>
      </c>
      <c r="J769" t="s" s="57">
        <v>64</v>
      </c>
    </row>
    <row r="770" ht="13.55" customHeight="1">
      <c r="A770" s="51">
        <v>46067</v>
      </c>
      <c r="B770" t="s" s="52">
        <v>23</v>
      </c>
      <c r="C770" t="s" s="52">
        <v>78</v>
      </c>
      <c r="D770" t="s" s="52">
        <v>17</v>
      </c>
      <c r="E770" s="53">
        <v>14</v>
      </c>
      <c r="F770" s="54">
        <v>72384</v>
      </c>
      <c r="G770" s="54" cm="1">
        <f t="array" ref="G770">E770*F770</f>
        <v>1013376</v>
      </c>
      <c r="H770" s="53" cm="1">
        <f t="array" ref="H770">YEAR(A770)</f>
        <v>2026</v>
      </c>
      <c r="I770" t="str" s="55" cm="1">
        <f t="array" ref="I770">"Q"&amp;ROUNDUP(MONTH(A770)/3,0)</f>
        <v>Q1</v>
      </c>
      <c r="J770" t="s" s="52">
        <v>64</v>
      </c>
    </row>
    <row r="771" ht="13.55" customHeight="1">
      <c r="A771" s="56">
        <v>46067</v>
      </c>
      <c r="B771" t="s" s="57">
        <v>22</v>
      </c>
      <c r="C771" t="s" s="57">
        <v>82</v>
      </c>
      <c r="D771" t="s" s="57">
        <v>18</v>
      </c>
      <c r="E771" s="58">
        <v>15</v>
      </c>
      <c r="F771" s="59">
        <v>64546</v>
      </c>
      <c r="G771" s="59" cm="1">
        <f t="array" ref="G771">E771*F771</f>
        <v>968190</v>
      </c>
      <c r="H771" s="58" cm="1">
        <f t="array" ref="H771">YEAR(A771)</f>
        <v>2026</v>
      </c>
      <c r="I771" t="str" s="60" cm="1">
        <f t="array" ref="I771">"Q"&amp;ROUNDUP(MONTH(A771)/3,0)</f>
        <v>Q1</v>
      </c>
      <c r="J771" t="s" s="57">
        <v>64</v>
      </c>
    </row>
    <row r="772" ht="13.55" customHeight="1">
      <c r="A772" s="51">
        <v>46067</v>
      </c>
      <c r="B772" t="s" s="52">
        <v>20</v>
      </c>
      <c r="C772" t="s" s="52">
        <v>78</v>
      </c>
      <c r="D772" t="s" s="52">
        <v>16</v>
      </c>
      <c r="E772" s="53">
        <v>13</v>
      </c>
      <c r="F772" s="54">
        <v>65815</v>
      </c>
      <c r="G772" s="54" cm="1">
        <f t="array" ref="G772">E772*F772</f>
        <v>855595</v>
      </c>
      <c r="H772" s="53" cm="1">
        <f t="array" ref="H772">YEAR(A772)</f>
        <v>2026</v>
      </c>
      <c r="I772" t="str" s="55" cm="1">
        <f t="array" ref="I772">"Q"&amp;ROUNDUP(MONTH(A772)/3,0)</f>
        <v>Q1</v>
      </c>
      <c r="J772" t="s" s="52">
        <v>64</v>
      </c>
    </row>
    <row r="773" ht="13.55" customHeight="1">
      <c r="A773" s="56">
        <v>46067</v>
      </c>
      <c r="B773" t="s" s="57">
        <v>22</v>
      </c>
      <c r="C773" t="s" s="57">
        <v>83</v>
      </c>
      <c r="D773" t="s" s="57">
        <v>18</v>
      </c>
      <c r="E773" s="58">
        <v>14</v>
      </c>
      <c r="F773" s="59">
        <v>29351</v>
      </c>
      <c r="G773" s="59" cm="1">
        <f t="array" ref="G773">E773*F773</f>
        <v>410914</v>
      </c>
      <c r="H773" s="58" cm="1">
        <f t="array" ref="H773">YEAR(A773)</f>
        <v>2026</v>
      </c>
      <c r="I773" t="str" s="60" cm="1">
        <f t="array" ref="I773">"Q"&amp;ROUNDUP(MONTH(A773)/3,0)</f>
        <v>Q1</v>
      </c>
      <c r="J773" t="s" s="57">
        <v>64</v>
      </c>
    </row>
    <row r="774" ht="13.55" customHeight="1">
      <c r="A774" s="51">
        <v>46068</v>
      </c>
      <c r="B774" t="s" s="52">
        <v>21</v>
      </c>
      <c r="C774" t="s" s="52">
        <v>78</v>
      </c>
      <c r="D774" t="s" s="52">
        <v>17</v>
      </c>
      <c r="E774" s="53">
        <v>8</v>
      </c>
      <c r="F774" s="54">
        <v>7994</v>
      </c>
      <c r="G774" s="54" cm="1">
        <f t="array" ref="G774">E774*F774</f>
        <v>63952</v>
      </c>
      <c r="H774" s="53" cm="1">
        <f t="array" ref="H774">YEAR(A774)</f>
        <v>2026</v>
      </c>
      <c r="I774" t="str" s="55" cm="1">
        <f t="array" ref="I774">"Q"&amp;ROUNDUP(MONTH(A774)/3,0)</f>
        <v>Q1</v>
      </c>
      <c r="J774" t="s" s="52">
        <v>64</v>
      </c>
    </row>
    <row r="775" ht="13.55" customHeight="1">
      <c r="A775" s="56">
        <v>46070</v>
      </c>
      <c r="B775" t="s" s="57">
        <v>21</v>
      </c>
      <c r="C775" t="s" s="57">
        <v>84</v>
      </c>
      <c r="D775" t="s" s="57">
        <v>16</v>
      </c>
      <c r="E775" s="58">
        <v>3</v>
      </c>
      <c r="F775" s="59">
        <v>25176</v>
      </c>
      <c r="G775" s="59" cm="1">
        <f t="array" ref="G775">E775*F775</f>
        <v>75528</v>
      </c>
      <c r="H775" s="58" cm="1">
        <f t="array" ref="H775">YEAR(A775)</f>
        <v>2026</v>
      </c>
      <c r="I775" t="str" s="60" cm="1">
        <f t="array" ref="I775">"Q"&amp;ROUNDUP(MONTH(A775)/3,0)</f>
        <v>Q1</v>
      </c>
      <c r="J775" t="s" s="57">
        <v>64</v>
      </c>
    </row>
    <row r="776" ht="13.55" customHeight="1">
      <c r="A776" s="51">
        <v>46071</v>
      </c>
      <c r="B776" t="s" s="52">
        <v>23</v>
      </c>
      <c r="C776" t="s" s="52">
        <v>81</v>
      </c>
      <c r="D776" t="s" s="52">
        <v>17</v>
      </c>
      <c r="E776" s="53">
        <v>2</v>
      </c>
      <c r="F776" s="54">
        <v>46830</v>
      </c>
      <c r="G776" s="54" cm="1">
        <f t="array" ref="G776">E776*F776</f>
        <v>93660</v>
      </c>
      <c r="H776" s="53" cm="1">
        <f t="array" ref="H776">YEAR(A776)</f>
        <v>2026</v>
      </c>
      <c r="I776" t="str" s="55" cm="1">
        <f t="array" ref="I776">"Q"&amp;ROUNDUP(MONTH(A776)/3,0)</f>
        <v>Q1</v>
      </c>
      <c r="J776" t="s" s="52">
        <v>64</v>
      </c>
    </row>
    <row r="777" ht="13.55" customHeight="1">
      <c r="A777" s="56">
        <v>46071</v>
      </c>
      <c r="B777" t="s" s="57">
        <v>23</v>
      </c>
      <c r="C777" t="s" s="57">
        <v>84</v>
      </c>
      <c r="D777" t="s" s="57">
        <v>15</v>
      </c>
      <c r="E777" s="58">
        <v>17</v>
      </c>
      <c r="F777" s="59">
        <v>78539</v>
      </c>
      <c r="G777" s="59" cm="1">
        <f t="array" ref="G777">E777*F777</f>
        <v>1335163</v>
      </c>
      <c r="H777" s="58" cm="1">
        <f t="array" ref="H777">YEAR(A777)</f>
        <v>2026</v>
      </c>
      <c r="I777" t="str" s="60" cm="1">
        <f t="array" ref="I777">"Q"&amp;ROUNDUP(MONTH(A777)/3,0)</f>
        <v>Q1</v>
      </c>
      <c r="J777" t="s" s="57">
        <v>64</v>
      </c>
    </row>
    <row r="778" ht="13.55" customHeight="1">
      <c r="A778" s="51">
        <v>46074</v>
      </c>
      <c r="B778" t="s" s="52">
        <v>20</v>
      </c>
      <c r="C778" t="s" s="52">
        <v>83</v>
      </c>
      <c r="D778" t="s" s="52">
        <v>15</v>
      </c>
      <c r="E778" s="53">
        <v>10</v>
      </c>
      <c r="F778" s="54">
        <v>69619</v>
      </c>
      <c r="G778" s="54" cm="1">
        <f t="array" ref="G778">E778*F778</f>
        <v>696190</v>
      </c>
      <c r="H778" s="53" cm="1">
        <f t="array" ref="H778">YEAR(A778)</f>
        <v>2026</v>
      </c>
      <c r="I778" t="str" s="55" cm="1">
        <f t="array" ref="I778">"Q"&amp;ROUNDUP(MONTH(A778)/3,0)</f>
        <v>Q1</v>
      </c>
      <c r="J778" t="s" s="52">
        <v>64</v>
      </c>
    </row>
    <row r="779" ht="13.55" customHeight="1">
      <c r="A779" s="56">
        <v>46074</v>
      </c>
      <c r="B779" t="s" s="57">
        <v>20</v>
      </c>
      <c r="C779" t="s" s="57">
        <v>84</v>
      </c>
      <c r="D779" t="s" s="57">
        <v>18</v>
      </c>
      <c r="E779" s="58">
        <v>17</v>
      </c>
      <c r="F779" s="59">
        <v>24539</v>
      </c>
      <c r="G779" s="59" cm="1">
        <f t="array" ref="G779">E779*F779</f>
        <v>417163</v>
      </c>
      <c r="H779" s="58" cm="1">
        <f t="array" ref="H779">YEAR(A779)</f>
        <v>2026</v>
      </c>
      <c r="I779" t="str" s="60" cm="1">
        <f t="array" ref="I779">"Q"&amp;ROUNDUP(MONTH(A779)/3,0)</f>
        <v>Q1</v>
      </c>
      <c r="J779" t="s" s="57">
        <v>64</v>
      </c>
    </row>
    <row r="780" ht="13.55" customHeight="1">
      <c r="A780" s="51">
        <v>46075</v>
      </c>
      <c r="B780" t="s" s="52">
        <v>22</v>
      </c>
      <c r="C780" t="s" s="52">
        <v>78</v>
      </c>
      <c r="D780" t="s" s="52">
        <v>15</v>
      </c>
      <c r="E780" s="53">
        <v>17</v>
      </c>
      <c r="F780" s="54">
        <v>67780</v>
      </c>
      <c r="G780" s="54" cm="1">
        <f t="array" ref="G780">E780*F780</f>
        <v>1152260</v>
      </c>
      <c r="H780" s="53" cm="1">
        <f t="array" ref="H780">YEAR(A780)</f>
        <v>2026</v>
      </c>
      <c r="I780" t="str" s="55" cm="1">
        <f t="array" ref="I780">"Q"&amp;ROUNDUP(MONTH(A780)/3,0)</f>
        <v>Q1</v>
      </c>
      <c r="J780" t="s" s="52">
        <v>64</v>
      </c>
    </row>
    <row r="781" ht="13.55" customHeight="1">
      <c r="A781" s="56">
        <v>46076</v>
      </c>
      <c r="B781" t="s" s="57">
        <v>20</v>
      </c>
      <c r="C781" t="s" s="57">
        <v>83</v>
      </c>
      <c r="D781" t="s" s="57">
        <v>16</v>
      </c>
      <c r="E781" s="58">
        <v>11</v>
      </c>
      <c r="F781" s="59">
        <v>71677</v>
      </c>
      <c r="G781" s="59" cm="1">
        <f t="array" ref="G781">E781*F781</f>
        <v>788447</v>
      </c>
      <c r="H781" s="58" cm="1">
        <f t="array" ref="H781">YEAR(A781)</f>
        <v>2026</v>
      </c>
      <c r="I781" t="str" s="60" cm="1">
        <f t="array" ref="I781">"Q"&amp;ROUNDUP(MONTH(A781)/3,0)</f>
        <v>Q1</v>
      </c>
      <c r="J781" t="s" s="57">
        <v>64</v>
      </c>
    </row>
    <row r="782" ht="13.55" customHeight="1">
      <c r="A782" s="51">
        <v>46078</v>
      </c>
      <c r="B782" t="s" s="52">
        <v>21</v>
      </c>
      <c r="C782" t="s" s="52">
        <v>78</v>
      </c>
      <c r="D782" t="s" s="52">
        <v>17</v>
      </c>
      <c r="E782" s="53">
        <v>9</v>
      </c>
      <c r="F782" s="54">
        <v>52295</v>
      </c>
      <c r="G782" s="54" cm="1">
        <f t="array" ref="G782">E782*F782</f>
        <v>470655</v>
      </c>
      <c r="H782" s="53" cm="1">
        <f t="array" ref="H782">YEAR(A782)</f>
        <v>2026</v>
      </c>
      <c r="I782" t="str" s="55" cm="1">
        <f t="array" ref="I782">"Q"&amp;ROUNDUP(MONTH(A782)/3,0)</f>
        <v>Q1</v>
      </c>
      <c r="J782" t="s" s="52">
        <v>64</v>
      </c>
    </row>
    <row r="783" ht="13.55" customHeight="1">
      <c r="A783" s="56">
        <v>46078</v>
      </c>
      <c r="B783" t="s" s="57">
        <v>23</v>
      </c>
      <c r="C783" t="s" s="57">
        <v>83</v>
      </c>
      <c r="D783" t="s" s="57">
        <v>16</v>
      </c>
      <c r="E783" s="58">
        <v>17</v>
      </c>
      <c r="F783" s="59">
        <v>35266</v>
      </c>
      <c r="G783" s="59" cm="1">
        <f t="array" ref="G783">E783*F783</f>
        <v>599522</v>
      </c>
      <c r="H783" s="58" cm="1">
        <f t="array" ref="H783">YEAR(A783)</f>
        <v>2026</v>
      </c>
      <c r="I783" t="str" s="60" cm="1">
        <f t="array" ref="I783">"Q"&amp;ROUNDUP(MONTH(A783)/3,0)</f>
        <v>Q1</v>
      </c>
      <c r="J783" t="s" s="57">
        <v>64</v>
      </c>
    </row>
    <row r="784" ht="13.55" customHeight="1">
      <c r="A784" s="51">
        <v>46081</v>
      </c>
      <c r="B784" t="s" s="52">
        <v>22</v>
      </c>
      <c r="C784" t="s" s="52">
        <v>80</v>
      </c>
      <c r="D784" t="s" s="52">
        <v>15</v>
      </c>
      <c r="E784" s="53">
        <v>12</v>
      </c>
      <c r="F784" s="54">
        <v>41683</v>
      </c>
      <c r="G784" s="54" cm="1">
        <f t="array" ref="G784">E784*F784</f>
        <v>500196</v>
      </c>
      <c r="H784" s="53" cm="1">
        <f t="array" ref="H784">YEAR(A784)</f>
        <v>2026</v>
      </c>
      <c r="I784" t="str" s="55" cm="1">
        <f t="array" ref="I784">"Q"&amp;ROUNDUP(MONTH(A784)/3,0)</f>
        <v>Q1</v>
      </c>
      <c r="J784" t="s" s="52">
        <v>64</v>
      </c>
    </row>
    <row r="785" ht="13.55" customHeight="1">
      <c r="A785" s="56">
        <v>46082</v>
      </c>
      <c r="B785" t="s" s="57">
        <v>20</v>
      </c>
      <c r="C785" t="s" s="57">
        <v>78</v>
      </c>
      <c r="D785" t="s" s="57">
        <v>18</v>
      </c>
      <c r="E785" s="58">
        <v>8</v>
      </c>
      <c r="F785" s="59">
        <v>43230</v>
      </c>
      <c r="G785" s="59" cm="1">
        <f t="array" ref="G785">E785*F785</f>
        <v>345840</v>
      </c>
      <c r="H785" s="58" cm="1">
        <f t="array" ref="H785">YEAR(A785)</f>
        <v>2026</v>
      </c>
      <c r="I785" t="str" s="60" cm="1">
        <f t="array" ref="I785">"Q"&amp;ROUNDUP(MONTH(A785)/3,0)</f>
        <v>Q1</v>
      </c>
      <c r="J785" t="s" s="57">
        <v>65</v>
      </c>
    </row>
    <row r="786" ht="13.55" customHeight="1">
      <c r="A786" s="51">
        <v>46083</v>
      </c>
      <c r="B786" t="s" s="52">
        <v>20</v>
      </c>
      <c r="C786" t="s" s="52">
        <v>83</v>
      </c>
      <c r="D786" t="s" s="52">
        <v>16</v>
      </c>
      <c r="E786" s="53">
        <v>1</v>
      </c>
      <c r="F786" s="54">
        <v>74906</v>
      </c>
      <c r="G786" s="54" cm="1">
        <f t="array" ref="G786">E786*F786</f>
        <v>74906</v>
      </c>
      <c r="H786" s="53" cm="1">
        <f t="array" ref="H786">YEAR(A786)</f>
        <v>2026</v>
      </c>
      <c r="I786" t="str" s="55" cm="1">
        <f t="array" ref="I786">"Q"&amp;ROUNDUP(MONTH(A786)/3,0)</f>
        <v>Q1</v>
      </c>
      <c r="J786" t="s" s="52">
        <v>65</v>
      </c>
    </row>
    <row r="787" ht="13.55" customHeight="1">
      <c r="A787" s="56">
        <v>46083</v>
      </c>
      <c r="B787" t="s" s="57">
        <v>20</v>
      </c>
      <c r="C787" t="s" s="57">
        <v>81</v>
      </c>
      <c r="D787" t="s" s="57">
        <v>15</v>
      </c>
      <c r="E787" s="58">
        <v>15</v>
      </c>
      <c r="F787" s="59">
        <v>24942</v>
      </c>
      <c r="G787" s="59" cm="1">
        <f t="array" ref="G787">E787*F787</f>
        <v>374130</v>
      </c>
      <c r="H787" s="58" cm="1">
        <f t="array" ref="H787">YEAR(A787)</f>
        <v>2026</v>
      </c>
      <c r="I787" t="str" s="60" cm="1">
        <f t="array" ref="I787">"Q"&amp;ROUNDUP(MONTH(A787)/3,0)</f>
        <v>Q1</v>
      </c>
      <c r="J787" t="s" s="57">
        <v>65</v>
      </c>
    </row>
    <row r="788" ht="13.55" customHeight="1">
      <c r="A788" s="51">
        <v>46083</v>
      </c>
      <c r="B788" t="s" s="52">
        <v>21</v>
      </c>
      <c r="C788" t="s" s="52">
        <v>78</v>
      </c>
      <c r="D788" t="s" s="52">
        <v>17</v>
      </c>
      <c r="E788" s="53">
        <v>18</v>
      </c>
      <c r="F788" s="54">
        <v>21999</v>
      </c>
      <c r="G788" s="54" cm="1">
        <f t="array" ref="G788">E788*F788</f>
        <v>395982</v>
      </c>
      <c r="H788" s="53" cm="1">
        <f t="array" ref="H788">YEAR(A788)</f>
        <v>2026</v>
      </c>
      <c r="I788" t="str" s="55" cm="1">
        <f t="array" ref="I788">"Q"&amp;ROUNDUP(MONTH(A788)/3,0)</f>
        <v>Q1</v>
      </c>
      <c r="J788" t="s" s="52">
        <v>65</v>
      </c>
    </row>
    <row r="789" ht="13.55" customHeight="1">
      <c r="A789" s="56">
        <v>46084</v>
      </c>
      <c r="B789" t="s" s="57">
        <v>20</v>
      </c>
      <c r="C789" t="s" s="57">
        <v>82</v>
      </c>
      <c r="D789" t="s" s="57">
        <v>15</v>
      </c>
      <c r="E789" s="58">
        <v>17</v>
      </c>
      <c r="F789" s="59">
        <v>24288</v>
      </c>
      <c r="G789" s="59" cm="1">
        <f t="array" ref="G789">E789*F789</f>
        <v>412896</v>
      </c>
      <c r="H789" s="58" cm="1">
        <f t="array" ref="H789">YEAR(A789)</f>
        <v>2026</v>
      </c>
      <c r="I789" t="str" s="60" cm="1">
        <f t="array" ref="I789">"Q"&amp;ROUNDUP(MONTH(A789)/3,0)</f>
        <v>Q1</v>
      </c>
      <c r="J789" t="s" s="57">
        <v>65</v>
      </c>
    </row>
    <row r="790" ht="13.55" customHeight="1">
      <c r="A790" s="51">
        <v>46086</v>
      </c>
      <c r="B790" t="s" s="52">
        <v>20</v>
      </c>
      <c r="C790" t="s" s="52">
        <v>84</v>
      </c>
      <c r="D790" t="s" s="52">
        <v>16</v>
      </c>
      <c r="E790" s="53">
        <v>18</v>
      </c>
      <c r="F790" s="54">
        <v>46430</v>
      </c>
      <c r="G790" s="54" cm="1">
        <f t="array" ref="G790">E790*F790</f>
        <v>835740</v>
      </c>
      <c r="H790" s="53" cm="1">
        <f t="array" ref="H790">YEAR(A790)</f>
        <v>2026</v>
      </c>
      <c r="I790" t="str" s="55" cm="1">
        <f t="array" ref="I790">"Q"&amp;ROUNDUP(MONTH(A790)/3,0)</f>
        <v>Q1</v>
      </c>
      <c r="J790" t="s" s="52">
        <v>65</v>
      </c>
    </row>
    <row r="791" ht="13.55" customHeight="1">
      <c r="A791" s="56">
        <v>46086</v>
      </c>
      <c r="B791" t="s" s="57">
        <v>21</v>
      </c>
      <c r="C791" t="s" s="57">
        <v>80</v>
      </c>
      <c r="D791" t="s" s="57">
        <v>18</v>
      </c>
      <c r="E791" s="58">
        <v>5</v>
      </c>
      <c r="F791" s="59">
        <v>37828</v>
      </c>
      <c r="G791" s="59" cm="1">
        <f t="array" ref="G791">E791*F791</f>
        <v>189140</v>
      </c>
      <c r="H791" s="58" cm="1">
        <f t="array" ref="H791">YEAR(A791)</f>
        <v>2026</v>
      </c>
      <c r="I791" t="str" s="60" cm="1">
        <f t="array" ref="I791">"Q"&amp;ROUNDUP(MONTH(A791)/3,0)</f>
        <v>Q1</v>
      </c>
      <c r="J791" t="s" s="57">
        <v>65</v>
      </c>
    </row>
    <row r="792" ht="13.55" customHeight="1">
      <c r="A792" s="51">
        <v>46087</v>
      </c>
      <c r="B792" t="s" s="52">
        <v>22</v>
      </c>
      <c r="C792" t="s" s="52">
        <v>80</v>
      </c>
      <c r="D792" t="s" s="52">
        <v>16</v>
      </c>
      <c r="E792" s="53">
        <v>13</v>
      </c>
      <c r="F792" s="54">
        <v>41455</v>
      </c>
      <c r="G792" s="54" cm="1">
        <f t="array" ref="G792">E792*F792</f>
        <v>538915</v>
      </c>
      <c r="H792" s="53" cm="1">
        <f t="array" ref="H792">YEAR(A792)</f>
        <v>2026</v>
      </c>
      <c r="I792" t="str" s="55" cm="1">
        <f t="array" ref="I792">"Q"&amp;ROUNDUP(MONTH(A792)/3,0)</f>
        <v>Q1</v>
      </c>
      <c r="J792" t="s" s="52">
        <v>65</v>
      </c>
    </row>
    <row r="793" ht="13.55" customHeight="1">
      <c r="A793" s="56">
        <v>46087</v>
      </c>
      <c r="B793" t="s" s="57">
        <v>21</v>
      </c>
      <c r="C793" t="s" s="57">
        <v>83</v>
      </c>
      <c r="D793" t="s" s="57">
        <v>16</v>
      </c>
      <c r="E793" s="58">
        <v>3</v>
      </c>
      <c r="F793" s="59">
        <v>75269</v>
      </c>
      <c r="G793" s="59" cm="1">
        <f t="array" ref="G793">E793*F793</f>
        <v>225807</v>
      </c>
      <c r="H793" s="58" cm="1">
        <f t="array" ref="H793">YEAR(A793)</f>
        <v>2026</v>
      </c>
      <c r="I793" t="str" s="60" cm="1">
        <f t="array" ref="I793">"Q"&amp;ROUNDUP(MONTH(A793)/3,0)</f>
        <v>Q1</v>
      </c>
      <c r="J793" t="s" s="57">
        <v>65</v>
      </c>
    </row>
    <row r="794" ht="13.55" customHeight="1">
      <c r="A794" s="51">
        <v>46087</v>
      </c>
      <c r="B794" t="s" s="52">
        <v>23</v>
      </c>
      <c r="C794" t="s" s="52">
        <v>83</v>
      </c>
      <c r="D794" t="s" s="52">
        <v>16</v>
      </c>
      <c r="E794" s="53">
        <v>12</v>
      </c>
      <c r="F794" s="54">
        <v>53003</v>
      </c>
      <c r="G794" s="54" cm="1">
        <f t="array" ref="G794">E794*F794</f>
        <v>636036</v>
      </c>
      <c r="H794" s="53" cm="1">
        <f t="array" ref="H794">YEAR(A794)</f>
        <v>2026</v>
      </c>
      <c r="I794" t="str" s="55" cm="1">
        <f t="array" ref="I794">"Q"&amp;ROUNDUP(MONTH(A794)/3,0)</f>
        <v>Q1</v>
      </c>
      <c r="J794" t="s" s="52">
        <v>65</v>
      </c>
    </row>
    <row r="795" ht="13.55" customHeight="1">
      <c r="A795" s="56">
        <v>46089</v>
      </c>
      <c r="B795" t="s" s="57">
        <v>21</v>
      </c>
      <c r="C795" t="s" s="57">
        <v>83</v>
      </c>
      <c r="D795" t="s" s="57">
        <v>16</v>
      </c>
      <c r="E795" s="58">
        <v>19</v>
      </c>
      <c r="F795" s="59">
        <v>6657</v>
      </c>
      <c r="G795" s="59" cm="1">
        <f t="array" ref="G795">E795*F795</f>
        <v>126483</v>
      </c>
      <c r="H795" s="58" cm="1">
        <f t="array" ref="H795">YEAR(A795)</f>
        <v>2026</v>
      </c>
      <c r="I795" t="str" s="60" cm="1">
        <f t="array" ref="I795">"Q"&amp;ROUNDUP(MONTH(A795)/3,0)</f>
        <v>Q1</v>
      </c>
      <c r="J795" t="s" s="57">
        <v>65</v>
      </c>
    </row>
    <row r="796" ht="13.55" customHeight="1">
      <c r="A796" s="51">
        <v>46089</v>
      </c>
      <c r="B796" t="s" s="52">
        <v>23</v>
      </c>
      <c r="C796" t="s" s="52">
        <v>78</v>
      </c>
      <c r="D796" t="s" s="52">
        <v>15</v>
      </c>
      <c r="E796" s="53">
        <v>1</v>
      </c>
      <c r="F796" s="54">
        <v>30525</v>
      </c>
      <c r="G796" s="54" cm="1">
        <f t="array" ref="G796">E796*F796</f>
        <v>30525</v>
      </c>
      <c r="H796" s="53" cm="1">
        <f t="array" ref="H796">YEAR(A796)</f>
        <v>2026</v>
      </c>
      <c r="I796" t="str" s="55" cm="1">
        <f t="array" ref="I796">"Q"&amp;ROUNDUP(MONTH(A796)/3,0)</f>
        <v>Q1</v>
      </c>
      <c r="J796" t="s" s="52">
        <v>65</v>
      </c>
    </row>
    <row r="797" ht="13.55" customHeight="1">
      <c r="A797" s="56">
        <v>46089</v>
      </c>
      <c r="B797" t="s" s="57">
        <v>22</v>
      </c>
      <c r="C797" t="s" s="57">
        <v>84</v>
      </c>
      <c r="D797" t="s" s="57">
        <v>16</v>
      </c>
      <c r="E797" s="58">
        <v>1</v>
      </c>
      <c r="F797" s="59">
        <v>49757</v>
      </c>
      <c r="G797" s="59" cm="1">
        <f t="array" ref="G797">E797*F797</f>
        <v>49757</v>
      </c>
      <c r="H797" s="58" cm="1">
        <f t="array" ref="H797">YEAR(A797)</f>
        <v>2026</v>
      </c>
      <c r="I797" t="str" s="60" cm="1">
        <f t="array" ref="I797">"Q"&amp;ROUNDUP(MONTH(A797)/3,0)</f>
        <v>Q1</v>
      </c>
      <c r="J797" t="s" s="57">
        <v>65</v>
      </c>
    </row>
    <row r="798" ht="13.55" customHeight="1">
      <c r="A798" s="51">
        <v>46089</v>
      </c>
      <c r="B798" t="s" s="52">
        <v>21</v>
      </c>
      <c r="C798" t="s" s="52">
        <v>78</v>
      </c>
      <c r="D798" t="s" s="52">
        <v>18</v>
      </c>
      <c r="E798" s="53">
        <v>16</v>
      </c>
      <c r="F798" s="54">
        <v>48939</v>
      </c>
      <c r="G798" s="54" cm="1">
        <f t="array" ref="G798">E798*F798</f>
        <v>783024</v>
      </c>
      <c r="H798" s="53" cm="1">
        <f t="array" ref="H798">YEAR(A798)</f>
        <v>2026</v>
      </c>
      <c r="I798" t="str" s="55" cm="1">
        <f t="array" ref="I798">"Q"&amp;ROUNDUP(MONTH(A798)/3,0)</f>
        <v>Q1</v>
      </c>
      <c r="J798" t="s" s="52">
        <v>65</v>
      </c>
    </row>
    <row r="799" ht="13.55" customHeight="1">
      <c r="A799" s="56">
        <v>46091</v>
      </c>
      <c r="B799" t="s" s="57">
        <v>22</v>
      </c>
      <c r="C799" t="s" s="57">
        <v>82</v>
      </c>
      <c r="D799" t="s" s="57">
        <v>16</v>
      </c>
      <c r="E799" s="58">
        <v>1</v>
      </c>
      <c r="F799" s="59">
        <v>14076</v>
      </c>
      <c r="G799" s="59" cm="1">
        <f t="array" ref="G799">E799*F799</f>
        <v>14076</v>
      </c>
      <c r="H799" s="58" cm="1">
        <f t="array" ref="H799">YEAR(A799)</f>
        <v>2026</v>
      </c>
      <c r="I799" t="str" s="60" cm="1">
        <f t="array" ref="I799">"Q"&amp;ROUNDUP(MONTH(A799)/3,0)</f>
        <v>Q1</v>
      </c>
      <c r="J799" t="s" s="57">
        <v>65</v>
      </c>
    </row>
    <row r="800" ht="13.55" customHeight="1">
      <c r="A800" s="51">
        <v>46092</v>
      </c>
      <c r="B800" t="s" s="52">
        <v>20</v>
      </c>
      <c r="C800" t="s" s="52">
        <v>78</v>
      </c>
      <c r="D800" t="s" s="52">
        <v>18</v>
      </c>
      <c r="E800" s="53">
        <v>16</v>
      </c>
      <c r="F800" s="54">
        <v>71629</v>
      </c>
      <c r="G800" s="54" cm="1">
        <f t="array" ref="G800">E800*F800</f>
        <v>1146064</v>
      </c>
      <c r="H800" s="53" cm="1">
        <f t="array" ref="H800">YEAR(A800)</f>
        <v>2026</v>
      </c>
      <c r="I800" t="str" s="55" cm="1">
        <f t="array" ref="I800">"Q"&amp;ROUNDUP(MONTH(A800)/3,0)</f>
        <v>Q1</v>
      </c>
      <c r="J800" t="s" s="52">
        <v>65</v>
      </c>
    </row>
    <row r="801" ht="13.55" customHeight="1">
      <c r="A801" s="56">
        <v>46093</v>
      </c>
      <c r="B801" t="s" s="57">
        <v>21</v>
      </c>
      <c r="C801" t="s" s="57">
        <v>84</v>
      </c>
      <c r="D801" t="s" s="57">
        <v>15</v>
      </c>
      <c r="E801" s="58">
        <v>9</v>
      </c>
      <c r="F801" s="59">
        <v>16874</v>
      </c>
      <c r="G801" s="59" cm="1">
        <f t="array" ref="G801">E801*F801</f>
        <v>151866</v>
      </c>
      <c r="H801" s="58" cm="1">
        <f t="array" ref="H801">YEAR(A801)</f>
        <v>2026</v>
      </c>
      <c r="I801" t="str" s="60" cm="1">
        <f t="array" ref="I801">"Q"&amp;ROUNDUP(MONTH(A801)/3,0)</f>
        <v>Q1</v>
      </c>
      <c r="J801" t="s" s="57">
        <v>65</v>
      </c>
    </row>
    <row r="802" ht="13.55" customHeight="1">
      <c r="A802" s="51">
        <v>46093</v>
      </c>
      <c r="B802" t="s" s="52">
        <v>23</v>
      </c>
      <c r="C802" t="s" s="52">
        <v>80</v>
      </c>
      <c r="D802" t="s" s="52">
        <v>17</v>
      </c>
      <c r="E802" s="53">
        <v>15</v>
      </c>
      <c r="F802" s="54">
        <v>38455</v>
      </c>
      <c r="G802" s="54" cm="1">
        <f t="array" ref="G802">E802*F802</f>
        <v>576825</v>
      </c>
      <c r="H802" s="53" cm="1">
        <f t="array" ref="H802">YEAR(A802)</f>
        <v>2026</v>
      </c>
      <c r="I802" t="str" s="55" cm="1">
        <f t="array" ref="I802">"Q"&amp;ROUNDUP(MONTH(A802)/3,0)</f>
        <v>Q1</v>
      </c>
      <c r="J802" t="s" s="52">
        <v>65</v>
      </c>
    </row>
    <row r="803" ht="13.55" customHeight="1">
      <c r="A803" s="56">
        <v>46095</v>
      </c>
      <c r="B803" t="s" s="57">
        <v>21</v>
      </c>
      <c r="C803" t="s" s="57">
        <v>84</v>
      </c>
      <c r="D803" t="s" s="57">
        <v>15</v>
      </c>
      <c r="E803" s="58">
        <v>10</v>
      </c>
      <c r="F803" s="59">
        <v>25922</v>
      </c>
      <c r="G803" s="59" cm="1">
        <f t="array" ref="G803">E803*F803</f>
        <v>259220</v>
      </c>
      <c r="H803" s="58" cm="1">
        <f t="array" ref="H803">YEAR(A803)</f>
        <v>2026</v>
      </c>
      <c r="I803" t="str" s="60" cm="1">
        <f t="array" ref="I803">"Q"&amp;ROUNDUP(MONTH(A803)/3,0)</f>
        <v>Q1</v>
      </c>
      <c r="J803" t="s" s="57">
        <v>65</v>
      </c>
    </row>
    <row r="804" ht="13.55" customHeight="1">
      <c r="A804" s="51">
        <v>46096</v>
      </c>
      <c r="B804" t="s" s="52">
        <v>23</v>
      </c>
      <c r="C804" t="s" s="52">
        <v>78</v>
      </c>
      <c r="D804" t="s" s="52">
        <v>17</v>
      </c>
      <c r="E804" s="53">
        <v>11</v>
      </c>
      <c r="F804" s="54">
        <v>72173</v>
      </c>
      <c r="G804" s="54" cm="1">
        <f t="array" ref="G804">E804*F804</f>
        <v>793903</v>
      </c>
      <c r="H804" s="53" cm="1">
        <f t="array" ref="H804">YEAR(A804)</f>
        <v>2026</v>
      </c>
      <c r="I804" t="str" s="55" cm="1">
        <f t="array" ref="I804">"Q"&amp;ROUNDUP(MONTH(A804)/3,0)</f>
        <v>Q1</v>
      </c>
      <c r="J804" t="s" s="52">
        <v>65</v>
      </c>
    </row>
    <row r="805" ht="13.55" customHeight="1">
      <c r="A805" s="56">
        <v>46097</v>
      </c>
      <c r="B805" t="s" s="57">
        <v>20</v>
      </c>
      <c r="C805" t="s" s="57">
        <v>83</v>
      </c>
      <c r="D805" t="s" s="57">
        <v>15</v>
      </c>
      <c r="E805" s="58">
        <v>1</v>
      </c>
      <c r="F805" s="59">
        <v>21901</v>
      </c>
      <c r="G805" s="59" cm="1">
        <f t="array" ref="G805">E805*F805</f>
        <v>21901</v>
      </c>
      <c r="H805" s="58" cm="1">
        <f t="array" ref="H805">YEAR(A805)</f>
        <v>2026</v>
      </c>
      <c r="I805" t="str" s="60" cm="1">
        <f t="array" ref="I805">"Q"&amp;ROUNDUP(MONTH(A805)/3,0)</f>
        <v>Q1</v>
      </c>
      <c r="J805" t="s" s="57">
        <v>65</v>
      </c>
    </row>
    <row r="806" ht="13.55" customHeight="1">
      <c r="A806" s="51">
        <v>46098</v>
      </c>
      <c r="B806" t="s" s="52">
        <v>22</v>
      </c>
      <c r="C806" t="s" s="52">
        <v>83</v>
      </c>
      <c r="D806" t="s" s="52">
        <v>18</v>
      </c>
      <c r="E806" s="53">
        <v>11</v>
      </c>
      <c r="F806" s="54">
        <v>35698</v>
      </c>
      <c r="G806" s="54" cm="1">
        <f t="array" ref="G806">E806*F806</f>
        <v>392678</v>
      </c>
      <c r="H806" s="53" cm="1">
        <f t="array" ref="H806">YEAR(A806)</f>
        <v>2026</v>
      </c>
      <c r="I806" t="str" s="55" cm="1">
        <f t="array" ref="I806">"Q"&amp;ROUNDUP(MONTH(A806)/3,0)</f>
        <v>Q1</v>
      </c>
      <c r="J806" t="s" s="52">
        <v>65</v>
      </c>
    </row>
    <row r="807" ht="13.55" customHeight="1">
      <c r="A807" s="56">
        <v>46102</v>
      </c>
      <c r="B807" t="s" s="57">
        <v>22</v>
      </c>
      <c r="C807" t="s" s="57">
        <v>78</v>
      </c>
      <c r="D807" t="s" s="57">
        <v>16</v>
      </c>
      <c r="E807" s="58">
        <v>15</v>
      </c>
      <c r="F807" s="59">
        <v>8255</v>
      </c>
      <c r="G807" s="59" cm="1">
        <f t="array" ref="G807">E807*F807</f>
        <v>123825</v>
      </c>
      <c r="H807" s="58" cm="1">
        <f t="array" ref="H807">YEAR(A807)</f>
        <v>2026</v>
      </c>
      <c r="I807" t="str" s="60" cm="1">
        <f t="array" ref="I807">"Q"&amp;ROUNDUP(MONTH(A807)/3,0)</f>
        <v>Q1</v>
      </c>
      <c r="J807" t="s" s="57">
        <v>65</v>
      </c>
    </row>
    <row r="808" ht="13.55" customHeight="1">
      <c r="A808" s="51">
        <v>46104</v>
      </c>
      <c r="B808" t="s" s="52">
        <v>23</v>
      </c>
      <c r="C808" t="s" s="52">
        <v>81</v>
      </c>
      <c r="D808" t="s" s="52">
        <v>16</v>
      </c>
      <c r="E808" s="53">
        <v>10</v>
      </c>
      <c r="F808" s="54">
        <v>48516</v>
      </c>
      <c r="G808" s="54" cm="1">
        <f t="array" ref="G808">E808*F808</f>
        <v>485160</v>
      </c>
      <c r="H808" s="53" cm="1">
        <f t="array" ref="H808">YEAR(A808)</f>
        <v>2026</v>
      </c>
      <c r="I808" t="str" s="55" cm="1">
        <f t="array" ref="I808">"Q"&amp;ROUNDUP(MONTH(A808)/3,0)</f>
        <v>Q1</v>
      </c>
      <c r="J808" t="s" s="52">
        <v>65</v>
      </c>
    </row>
    <row r="809" ht="13.55" customHeight="1">
      <c r="A809" s="56">
        <v>46106</v>
      </c>
      <c r="B809" t="s" s="57">
        <v>20</v>
      </c>
      <c r="C809" t="s" s="57">
        <v>78</v>
      </c>
      <c r="D809" t="s" s="57">
        <v>15</v>
      </c>
      <c r="E809" s="58">
        <v>15</v>
      </c>
      <c r="F809" s="59">
        <v>18269</v>
      </c>
      <c r="G809" s="59" cm="1">
        <f t="array" ref="G809">E809*F809</f>
        <v>274035</v>
      </c>
      <c r="H809" s="58" cm="1">
        <f t="array" ref="H809">YEAR(A809)</f>
        <v>2026</v>
      </c>
      <c r="I809" t="str" s="60" cm="1">
        <f t="array" ref="I809">"Q"&amp;ROUNDUP(MONTH(A809)/3,0)</f>
        <v>Q1</v>
      </c>
      <c r="J809" t="s" s="57">
        <v>65</v>
      </c>
    </row>
    <row r="810" ht="13.55" customHeight="1">
      <c r="A810" s="51">
        <v>46106</v>
      </c>
      <c r="B810" t="s" s="52">
        <v>22</v>
      </c>
      <c r="C810" t="s" s="52">
        <v>80</v>
      </c>
      <c r="D810" t="s" s="52">
        <v>18</v>
      </c>
      <c r="E810" s="53">
        <v>14</v>
      </c>
      <c r="F810" s="54">
        <v>60468</v>
      </c>
      <c r="G810" s="54" cm="1">
        <f t="array" ref="G810">E810*F810</f>
        <v>846552</v>
      </c>
      <c r="H810" s="53" cm="1">
        <f t="array" ref="H810">YEAR(A810)</f>
        <v>2026</v>
      </c>
      <c r="I810" t="str" s="55" cm="1">
        <f t="array" ref="I810">"Q"&amp;ROUNDUP(MONTH(A810)/3,0)</f>
        <v>Q1</v>
      </c>
      <c r="J810" t="s" s="52">
        <v>65</v>
      </c>
    </row>
    <row r="811" ht="13.55" customHeight="1">
      <c r="A811" s="56">
        <v>46107</v>
      </c>
      <c r="B811" t="s" s="57">
        <v>21</v>
      </c>
      <c r="C811" t="s" s="57">
        <v>83</v>
      </c>
      <c r="D811" t="s" s="57">
        <v>18</v>
      </c>
      <c r="E811" s="58">
        <v>3</v>
      </c>
      <c r="F811" s="59">
        <v>76246</v>
      </c>
      <c r="G811" s="59" cm="1">
        <f t="array" ref="G811">E811*F811</f>
        <v>228738</v>
      </c>
      <c r="H811" s="58" cm="1">
        <f t="array" ref="H811">YEAR(A811)</f>
        <v>2026</v>
      </c>
      <c r="I811" t="str" s="60" cm="1">
        <f t="array" ref="I811">"Q"&amp;ROUNDUP(MONTH(A811)/3,0)</f>
        <v>Q1</v>
      </c>
      <c r="J811" t="s" s="57">
        <v>65</v>
      </c>
    </row>
    <row r="812" ht="13.55" customHeight="1">
      <c r="A812" s="51">
        <v>46107</v>
      </c>
      <c r="B812" t="s" s="52">
        <v>20</v>
      </c>
      <c r="C812" t="s" s="52">
        <v>80</v>
      </c>
      <c r="D812" t="s" s="52">
        <v>16</v>
      </c>
      <c r="E812" s="53">
        <v>12</v>
      </c>
      <c r="F812" s="54">
        <v>46609</v>
      </c>
      <c r="G812" s="54" cm="1">
        <f t="array" ref="G812">E812*F812</f>
        <v>559308</v>
      </c>
      <c r="H812" s="53" cm="1">
        <f t="array" ref="H812">YEAR(A812)</f>
        <v>2026</v>
      </c>
      <c r="I812" t="str" s="55" cm="1">
        <f t="array" ref="I812">"Q"&amp;ROUNDUP(MONTH(A812)/3,0)</f>
        <v>Q1</v>
      </c>
      <c r="J812" t="s" s="52">
        <v>65</v>
      </c>
    </row>
    <row r="813" ht="13.55" customHeight="1">
      <c r="A813" s="56">
        <v>46107</v>
      </c>
      <c r="B813" t="s" s="57">
        <v>22</v>
      </c>
      <c r="C813" t="s" s="57">
        <v>83</v>
      </c>
      <c r="D813" t="s" s="57">
        <v>17</v>
      </c>
      <c r="E813" s="58">
        <v>14</v>
      </c>
      <c r="F813" s="59">
        <v>22375</v>
      </c>
      <c r="G813" s="59" cm="1">
        <f t="array" ref="G813">E813*F813</f>
        <v>313250</v>
      </c>
      <c r="H813" s="58" cm="1">
        <f t="array" ref="H813">YEAR(A813)</f>
        <v>2026</v>
      </c>
      <c r="I813" t="str" s="60" cm="1">
        <f t="array" ref="I813">"Q"&amp;ROUNDUP(MONTH(A813)/3,0)</f>
        <v>Q1</v>
      </c>
      <c r="J813" t="s" s="57">
        <v>65</v>
      </c>
    </row>
    <row r="814" ht="13.55" customHeight="1">
      <c r="A814" s="51">
        <v>46107</v>
      </c>
      <c r="B814" t="s" s="52">
        <v>22</v>
      </c>
      <c r="C814" t="s" s="52">
        <v>78</v>
      </c>
      <c r="D814" t="s" s="52">
        <v>18</v>
      </c>
      <c r="E814" s="53">
        <v>8</v>
      </c>
      <c r="F814" s="54">
        <v>10039</v>
      </c>
      <c r="G814" s="54" cm="1">
        <f t="array" ref="G814">E814*F814</f>
        <v>80312</v>
      </c>
      <c r="H814" s="53" cm="1">
        <f t="array" ref="H814">YEAR(A814)</f>
        <v>2026</v>
      </c>
      <c r="I814" t="str" s="55" cm="1">
        <f t="array" ref="I814">"Q"&amp;ROUNDUP(MONTH(A814)/3,0)</f>
        <v>Q1</v>
      </c>
      <c r="J814" t="s" s="52">
        <v>65</v>
      </c>
    </row>
    <row r="815" ht="13.55" customHeight="1">
      <c r="A815" s="56">
        <v>46109</v>
      </c>
      <c r="B815" t="s" s="57">
        <v>21</v>
      </c>
      <c r="C815" t="s" s="57">
        <v>84</v>
      </c>
      <c r="D815" t="s" s="57">
        <v>16</v>
      </c>
      <c r="E815" s="58">
        <v>5</v>
      </c>
      <c r="F815" s="59">
        <v>27439</v>
      </c>
      <c r="G815" s="59" cm="1">
        <f t="array" ref="G815">E815*F815</f>
        <v>137195</v>
      </c>
      <c r="H815" s="58" cm="1">
        <f t="array" ref="H815">YEAR(A815)</f>
        <v>2026</v>
      </c>
      <c r="I815" t="str" s="60" cm="1">
        <f t="array" ref="I815">"Q"&amp;ROUNDUP(MONTH(A815)/3,0)</f>
        <v>Q1</v>
      </c>
      <c r="J815" t="s" s="57">
        <v>65</v>
      </c>
    </row>
    <row r="816" ht="13.55" customHeight="1">
      <c r="A816" s="51">
        <v>46110</v>
      </c>
      <c r="B816" t="s" s="52">
        <v>23</v>
      </c>
      <c r="C816" t="s" s="52">
        <v>81</v>
      </c>
      <c r="D816" t="s" s="52">
        <v>16</v>
      </c>
      <c r="E816" s="53">
        <v>17</v>
      </c>
      <c r="F816" s="54">
        <v>56707</v>
      </c>
      <c r="G816" s="54" cm="1">
        <f t="array" ref="G816">E816*F816</f>
        <v>964019</v>
      </c>
      <c r="H816" s="53" cm="1">
        <f t="array" ref="H816">YEAR(A816)</f>
        <v>2026</v>
      </c>
      <c r="I816" t="str" s="55" cm="1">
        <f t="array" ref="I816">"Q"&amp;ROUNDUP(MONTH(A816)/3,0)</f>
        <v>Q1</v>
      </c>
      <c r="J816" t="s" s="52">
        <v>65</v>
      </c>
    </row>
    <row r="817" ht="13.55" customHeight="1">
      <c r="A817" s="56">
        <v>46110</v>
      </c>
      <c r="B817" t="s" s="57">
        <v>20</v>
      </c>
      <c r="C817" t="s" s="57">
        <v>80</v>
      </c>
      <c r="D817" t="s" s="57">
        <v>17</v>
      </c>
      <c r="E817" s="58">
        <v>9</v>
      </c>
      <c r="F817" s="59">
        <v>33916</v>
      </c>
      <c r="G817" s="59" cm="1">
        <f t="array" ref="G817">E817*F817</f>
        <v>305244</v>
      </c>
      <c r="H817" s="58" cm="1">
        <f t="array" ref="H817">YEAR(A817)</f>
        <v>2026</v>
      </c>
      <c r="I817" t="str" s="60" cm="1">
        <f t="array" ref="I817">"Q"&amp;ROUNDUP(MONTH(A817)/3,0)</f>
        <v>Q1</v>
      </c>
      <c r="J817" t="s" s="57">
        <v>65</v>
      </c>
    </row>
    <row r="818" ht="13.55" customHeight="1">
      <c r="A818" s="51">
        <v>46111</v>
      </c>
      <c r="B818" t="s" s="52">
        <v>21</v>
      </c>
      <c r="C818" t="s" s="52">
        <v>82</v>
      </c>
      <c r="D818" t="s" s="52">
        <v>17</v>
      </c>
      <c r="E818" s="53">
        <v>1</v>
      </c>
      <c r="F818" s="54">
        <v>26639</v>
      </c>
      <c r="G818" s="54" cm="1">
        <f t="array" ref="G818">E818*F818</f>
        <v>26639</v>
      </c>
      <c r="H818" s="53" cm="1">
        <f t="array" ref="H818">YEAR(A818)</f>
        <v>2026</v>
      </c>
      <c r="I818" t="str" s="55" cm="1">
        <f t="array" ref="I818">"Q"&amp;ROUNDUP(MONTH(A818)/3,0)</f>
        <v>Q1</v>
      </c>
      <c r="J818" t="s" s="52">
        <v>65</v>
      </c>
    </row>
    <row r="819" ht="13.55" customHeight="1">
      <c r="A819" s="56">
        <v>46111</v>
      </c>
      <c r="B819" t="s" s="57">
        <v>21</v>
      </c>
      <c r="C819" t="s" s="57">
        <v>81</v>
      </c>
      <c r="D819" t="s" s="57">
        <v>15</v>
      </c>
      <c r="E819" s="58">
        <v>16</v>
      </c>
      <c r="F819" s="59">
        <v>23814</v>
      </c>
      <c r="G819" s="59" cm="1">
        <f t="array" ref="G819">E819*F819</f>
        <v>381024</v>
      </c>
      <c r="H819" s="58" cm="1">
        <f t="array" ref="H819">YEAR(A819)</f>
        <v>2026</v>
      </c>
      <c r="I819" t="str" s="60" cm="1">
        <f t="array" ref="I819">"Q"&amp;ROUNDUP(MONTH(A819)/3,0)</f>
        <v>Q1</v>
      </c>
      <c r="J819" t="s" s="57">
        <v>65</v>
      </c>
    </row>
    <row r="820" ht="13.55" customHeight="1">
      <c r="A820" s="51">
        <v>46113</v>
      </c>
      <c r="B820" t="s" s="52">
        <v>20</v>
      </c>
      <c r="C820" t="s" s="52">
        <v>83</v>
      </c>
      <c r="D820" t="s" s="52">
        <v>17</v>
      </c>
      <c r="E820" s="53">
        <v>8</v>
      </c>
      <c r="F820" s="54">
        <v>54145</v>
      </c>
      <c r="G820" s="54" cm="1">
        <f t="array" ref="G820">E820*F820</f>
        <v>433160</v>
      </c>
      <c r="H820" s="53" cm="1">
        <f t="array" ref="H820">YEAR(A820)</f>
        <v>2026</v>
      </c>
      <c r="I820" t="str" s="55" cm="1">
        <f t="array" ref="I820">"Q"&amp;ROUNDUP(MONTH(A820)/3,0)</f>
        <v>Q2</v>
      </c>
      <c r="J820" t="s" s="52">
        <v>66</v>
      </c>
    </row>
    <row r="821" ht="13.55" customHeight="1">
      <c r="A821" s="56">
        <v>46113</v>
      </c>
      <c r="B821" t="s" s="57">
        <v>22</v>
      </c>
      <c r="C821" t="s" s="57">
        <v>80</v>
      </c>
      <c r="D821" t="s" s="57">
        <v>16</v>
      </c>
      <c r="E821" s="58">
        <v>1</v>
      </c>
      <c r="F821" s="59">
        <v>49816</v>
      </c>
      <c r="G821" s="59" cm="1">
        <f t="array" ref="G821">E821*F821</f>
        <v>49816</v>
      </c>
      <c r="H821" s="58" cm="1">
        <f t="array" ref="H821">YEAR(A821)</f>
        <v>2026</v>
      </c>
      <c r="I821" t="str" s="60" cm="1">
        <f t="array" ref="I821">"Q"&amp;ROUNDUP(MONTH(A821)/3,0)</f>
        <v>Q2</v>
      </c>
      <c r="J821" t="s" s="57">
        <v>66</v>
      </c>
    </row>
    <row r="822" ht="13.55" customHeight="1">
      <c r="A822" s="51">
        <v>46114</v>
      </c>
      <c r="B822" t="s" s="52">
        <v>22</v>
      </c>
      <c r="C822" t="s" s="52">
        <v>78</v>
      </c>
      <c r="D822" t="s" s="52">
        <v>18</v>
      </c>
      <c r="E822" s="53">
        <v>4</v>
      </c>
      <c r="F822" s="54">
        <v>43225</v>
      </c>
      <c r="G822" s="54" cm="1">
        <f t="array" ref="G822">E822*F822</f>
        <v>172900</v>
      </c>
      <c r="H822" s="53" cm="1">
        <f t="array" ref="H822">YEAR(A822)</f>
        <v>2026</v>
      </c>
      <c r="I822" t="str" s="55" cm="1">
        <f t="array" ref="I822">"Q"&amp;ROUNDUP(MONTH(A822)/3,0)</f>
        <v>Q2</v>
      </c>
      <c r="J822" t="s" s="52">
        <v>66</v>
      </c>
    </row>
    <row r="823" ht="13.55" customHeight="1">
      <c r="A823" s="56">
        <v>46115</v>
      </c>
      <c r="B823" t="s" s="57">
        <v>23</v>
      </c>
      <c r="C823" t="s" s="57">
        <v>82</v>
      </c>
      <c r="D823" t="s" s="57">
        <v>18</v>
      </c>
      <c r="E823" s="58">
        <v>16</v>
      </c>
      <c r="F823" s="59">
        <v>71125</v>
      </c>
      <c r="G823" s="59" cm="1">
        <f t="array" ref="G823">E823*F823</f>
        <v>1138000</v>
      </c>
      <c r="H823" s="58" cm="1">
        <f t="array" ref="H823">YEAR(A823)</f>
        <v>2026</v>
      </c>
      <c r="I823" t="str" s="60" cm="1">
        <f t="array" ref="I823">"Q"&amp;ROUNDUP(MONTH(A823)/3,0)</f>
        <v>Q2</v>
      </c>
      <c r="J823" t="s" s="57">
        <v>66</v>
      </c>
    </row>
    <row r="824" ht="13.55" customHeight="1">
      <c r="A824" s="51">
        <v>46115</v>
      </c>
      <c r="B824" t="s" s="52">
        <v>20</v>
      </c>
      <c r="C824" t="s" s="52">
        <v>81</v>
      </c>
      <c r="D824" t="s" s="52">
        <v>17</v>
      </c>
      <c r="E824" s="53">
        <v>19</v>
      </c>
      <c r="F824" s="54">
        <v>62221</v>
      </c>
      <c r="G824" s="54" cm="1">
        <f t="array" ref="G824">E824*F824</f>
        <v>1182199</v>
      </c>
      <c r="H824" s="53" cm="1">
        <f t="array" ref="H824">YEAR(A824)</f>
        <v>2026</v>
      </c>
      <c r="I824" t="str" s="55" cm="1">
        <f t="array" ref="I824">"Q"&amp;ROUNDUP(MONTH(A824)/3,0)</f>
        <v>Q2</v>
      </c>
      <c r="J824" t="s" s="52">
        <v>66</v>
      </c>
    </row>
    <row r="825" ht="13.55" customHeight="1">
      <c r="A825" s="56">
        <v>46116</v>
      </c>
      <c r="B825" t="s" s="57">
        <v>21</v>
      </c>
      <c r="C825" t="s" s="57">
        <v>78</v>
      </c>
      <c r="D825" t="s" s="57">
        <v>16</v>
      </c>
      <c r="E825" s="58">
        <v>2</v>
      </c>
      <c r="F825" s="59">
        <v>51223</v>
      </c>
      <c r="G825" s="59" cm="1">
        <f t="array" ref="G825">E825*F825</f>
        <v>102446</v>
      </c>
      <c r="H825" s="58" cm="1">
        <f t="array" ref="H825">YEAR(A825)</f>
        <v>2026</v>
      </c>
      <c r="I825" t="str" s="60" cm="1">
        <f t="array" ref="I825">"Q"&amp;ROUNDUP(MONTH(A825)/3,0)</f>
        <v>Q2</v>
      </c>
      <c r="J825" t="s" s="57">
        <v>66</v>
      </c>
    </row>
    <row r="826" ht="13.55" customHeight="1">
      <c r="A826" s="51">
        <v>46117</v>
      </c>
      <c r="B826" t="s" s="52">
        <v>23</v>
      </c>
      <c r="C826" t="s" s="52">
        <v>81</v>
      </c>
      <c r="D826" t="s" s="52">
        <v>16</v>
      </c>
      <c r="E826" s="53">
        <v>17</v>
      </c>
      <c r="F826" s="54">
        <v>41639</v>
      </c>
      <c r="G826" s="54" cm="1">
        <f t="array" ref="G826">E826*F826</f>
        <v>707863</v>
      </c>
      <c r="H826" s="53" cm="1">
        <f t="array" ref="H826">YEAR(A826)</f>
        <v>2026</v>
      </c>
      <c r="I826" t="str" s="55" cm="1">
        <f t="array" ref="I826">"Q"&amp;ROUNDUP(MONTH(A826)/3,0)</f>
        <v>Q2</v>
      </c>
      <c r="J826" t="s" s="52">
        <v>66</v>
      </c>
    </row>
    <row r="827" ht="13.55" customHeight="1">
      <c r="A827" s="56">
        <v>46118</v>
      </c>
      <c r="B827" t="s" s="57">
        <v>23</v>
      </c>
      <c r="C827" t="s" s="57">
        <v>83</v>
      </c>
      <c r="D827" t="s" s="57">
        <v>17</v>
      </c>
      <c r="E827" s="58">
        <v>1</v>
      </c>
      <c r="F827" s="59">
        <v>63692</v>
      </c>
      <c r="G827" s="59" cm="1">
        <f t="array" ref="G827">E827*F827</f>
        <v>63692</v>
      </c>
      <c r="H827" s="58" cm="1">
        <f t="array" ref="H827">YEAR(A827)</f>
        <v>2026</v>
      </c>
      <c r="I827" t="str" s="60" cm="1">
        <f t="array" ref="I827">"Q"&amp;ROUNDUP(MONTH(A827)/3,0)</f>
        <v>Q2</v>
      </c>
      <c r="J827" t="s" s="57">
        <v>66</v>
      </c>
    </row>
    <row r="828" ht="13.55" customHeight="1">
      <c r="A828" s="51">
        <v>46119</v>
      </c>
      <c r="B828" t="s" s="52">
        <v>22</v>
      </c>
      <c r="C828" t="s" s="52">
        <v>81</v>
      </c>
      <c r="D828" t="s" s="52">
        <v>18</v>
      </c>
      <c r="E828" s="53">
        <v>11</v>
      </c>
      <c r="F828" s="54">
        <v>26119</v>
      </c>
      <c r="G828" s="54" cm="1">
        <f t="array" ref="G828">E828*F828</f>
        <v>287309</v>
      </c>
      <c r="H828" s="53" cm="1">
        <f t="array" ref="H828">YEAR(A828)</f>
        <v>2026</v>
      </c>
      <c r="I828" t="str" s="55" cm="1">
        <f t="array" ref="I828">"Q"&amp;ROUNDUP(MONTH(A828)/3,0)</f>
        <v>Q2</v>
      </c>
      <c r="J828" t="s" s="52">
        <v>66</v>
      </c>
    </row>
    <row r="829" ht="13.55" customHeight="1">
      <c r="A829" s="56">
        <v>46120</v>
      </c>
      <c r="B829" t="s" s="57">
        <v>20</v>
      </c>
      <c r="C829" t="s" s="57">
        <v>81</v>
      </c>
      <c r="D829" t="s" s="57">
        <v>16</v>
      </c>
      <c r="E829" s="58">
        <v>5</v>
      </c>
      <c r="F829" s="59">
        <v>23816</v>
      </c>
      <c r="G829" s="59" cm="1">
        <f t="array" ref="G829">E829*F829</f>
        <v>119080</v>
      </c>
      <c r="H829" s="58" cm="1">
        <f t="array" ref="H829">YEAR(A829)</f>
        <v>2026</v>
      </c>
      <c r="I829" t="str" s="60" cm="1">
        <f t="array" ref="I829">"Q"&amp;ROUNDUP(MONTH(A829)/3,0)</f>
        <v>Q2</v>
      </c>
      <c r="J829" t="s" s="57">
        <v>66</v>
      </c>
    </row>
    <row r="830" ht="13.55" customHeight="1">
      <c r="A830" s="51">
        <v>46120</v>
      </c>
      <c r="B830" t="s" s="52">
        <v>23</v>
      </c>
      <c r="C830" t="s" s="52">
        <v>83</v>
      </c>
      <c r="D830" t="s" s="52">
        <v>15</v>
      </c>
      <c r="E830" s="53">
        <v>16</v>
      </c>
      <c r="F830" s="54">
        <v>14275</v>
      </c>
      <c r="G830" s="54" cm="1">
        <f t="array" ref="G830">E830*F830</f>
        <v>228400</v>
      </c>
      <c r="H830" s="53" cm="1">
        <f t="array" ref="H830">YEAR(A830)</f>
        <v>2026</v>
      </c>
      <c r="I830" t="str" s="55" cm="1">
        <f t="array" ref="I830">"Q"&amp;ROUNDUP(MONTH(A830)/3,0)</f>
        <v>Q2</v>
      </c>
      <c r="J830" t="s" s="52">
        <v>66</v>
      </c>
    </row>
    <row r="831" ht="13.55" customHeight="1">
      <c r="A831" s="56">
        <v>46120</v>
      </c>
      <c r="B831" t="s" s="57">
        <v>22</v>
      </c>
      <c r="C831" t="s" s="57">
        <v>78</v>
      </c>
      <c r="D831" t="s" s="57">
        <v>15</v>
      </c>
      <c r="E831" s="58">
        <v>14</v>
      </c>
      <c r="F831" s="59">
        <v>57656</v>
      </c>
      <c r="G831" s="59" cm="1">
        <f t="array" ref="G831">E831*F831</f>
        <v>807184</v>
      </c>
      <c r="H831" s="58" cm="1">
        <f t="array" ref="H831">YEAR(A831)</f>
        <v>2026</v>
      </c>
      <c r="I831" t="str" s="60" cm="1">
        <f t="array" ref="I831">"Q"&amp;ROUNDUP(MONTH(A831)/3,0)</f>
        <v>Q2</v>
      </c>
      <c r="J831" t="s" s="57">
        <v>66</v>
      </c>
    </row>
    <row r="832" ht="13.55" customHeight="1">
      <c r="A832" s="51">
        <v>46121</v>
      </c>
      <c r="B832" t="s" s="52">
        <v>20</v>
      </c>
      <c r="C832" t="s" s="52">
        <v>80</v>
      </c>
      <c r="D832" t="s" s="52">
        <v>17</v>
      </c>
      <c r="E832" s="53">
        <v>12</v>
      </c>
      <c r="F832" s="54">
        <v>51525</v>
      </c>
      <c r="G832" s="54" cm="1">
        <f t="array" ref="G832">E832*F832</f>
        <v>618300</v>
      </c>
      <c r="H832" s="53" cm="1">
        <f t="array" ref="H832">YEAR(A832)</f>
        <v>2026</v>
      </c>
      <c r="I832" t="str" s="55" cm="1">
        <f t="array" ref="I832">"Q"&amp;ROUNDUP(MONTH(A832)/3,0)</f>
        <v>Q2</v>
      </c>
      <c r="J832" t="s" s="52">
        <v>66</v>
      </c>
    </row>
    <row r="833" ht="13.55" customHeight="1">
      <c r="A833" s="56">
        <v>46121</v>
      </c>
      <c r="B833" t="s" s="57">
        <v>22</v>
      </c>
      <c r="C833" t="s" s="57">
        <v>82</v>
      </c>
      <c r="D833" t="s" s="57">
        <v>16</v>
      </c>
      <c r="E833" s="58">
        <v>1</v>
      </c>
      <c r="F833" s="59">
        <v>44082</v>
      </c>
      <c r="G833" s="59" cm="1">
        <f t="array" ref="G833">E833*F833</f>
        <v>44082</v>
      </c>
      <c r="H833" s="58" cm="1">
        <f t="array" ref="H833">YEAR(A833)</f>
        <v>2026</v>
      </c>
      <c r="I833" t="str" s="60" cm="1">
        <f t="array" ref="I833">"Q"&amp;ROUNDUP(MONTH(A833)/3,0)</f>
        <v>Q2</v>
      </c>
      <c r="J833" t="s" s="57">
        <v>66</v>
      </c>
    </row>
    <row r="834" ht="13.55" customHeight="1">
      <c r="A834" s="51">
        <v>46122</v>
      </c>
      <c r="B834" t="s" s="52">
        <v>22</v>
      </c>
      <c r="C834" t="s" s="52">
        <v>82</v>
      </c>
      <c r="D834" t="s" s="52">
        <v>18</v>
      </c>
      <c r="E834" s="53">
        <v>2</v>
      </c>
      <c r="F834" s="54">
        <v>15692</v>
      </c>
      <c r="G834" s="54" cm="1">
        <f t="array" ref="G834">E834*F834</f>
        <v>31384</v>
      </c>
      <c r="H834" s="53" cm="1">
        <f t="array" ref="H834">YEAR(A834)</f>
        <v>2026</v>
      </c>
      <c r="I834" t="str" s="55" cm="1">
        <f t="array" ref="I834">"Q"&amp;ROUNDUP(MONTH(A834)/3,0)</f>
        <v>Q2</v>
      </c>
      <c r="J834" t="s" s="52">
        <v>66</v>
      </c>
    </row>
    <row r="835" ht="13.55" customHeight="1">
      <c r="A835" s="56">
        <v>46123</v>
      </c>
      <c r="B835" t="s" s="57">
        <v>23</v>
      </c>
      <c r="C835" t="s" s="57">
        <v>82</v>
      </c>
      <c r="D835" t="s" s="57">
        <v>17</v>
      </c>
      <c r="E835" s="58">
        <v>14</v>
      </c>
      <c r="F835" s="59">
        <v>17360</v>
      </c>
      <c r="G835" s="59" cm="1">
        <f t="array" ref="G835">E835*F835</f>
        <v>243040</v>
      </c>
      <c r="H835" s="58" cm="1">
        <f t="array" ref="H835">YEAR(A835)</f>
        <v>2026</v>
      </c>
      <c r="I835" t="str" s="60" cm="1">
        <f t="array" ref="I835">"Q"&amp;ROUNDUP(MONTH(A835)/3,0)</f>
        <v>Q2</v>
      </c>
      <c r="J835" t="s" s="57">
        <v>66</v>
      </c>
    </row>
    <row r="836" ht="13.55" customHeight="1">
      <c r="A836" s="51">
        <v>46124</v>
      </c>
      <c r="B836" t="s" s="52">
        <v>23</v>
      </c>
      <c r="C836" t="s" s="52">
        <v>83</v>
      </c>
      <c r="D836" t="s" s="52">
        <v>18</v>
      </c>
      <c r="E836" s="53">
        <v>15</v>
      </c>
      <c r="F836" s="54">
        <v>12347</v>
      </c>
      <c r="G836" s="54" cm="1">
        <f t="array" ref="G836">E836*F836</f>
        <v>185205</v>
      </c>
      <c r="H836" s="53" cm="1">
        <f t="array" ref="H836">YEAR(A836)</f>
        <v>2026</v>
      </c>
      <c r="I836" t="str" s="55" cm="1">
        <f t="array" ref="I836">"Q"&amp;ROUNDUP(MONTH(A836)/3,0)</f>
        <v>Q2</v>
      </c>
      <c r="J836" t="s" s="52">
        <v>66</v>
      </c>
    </row>
    <row r="837" ht="13.55" customHeight="1">
      <c r="A837" s="56">
        <v>46125</v>
      </c>
      <c r="B837" t="s" s="57">
        <v>21</v>
      </c>
      <c r="C837" t="s" s="57">
        <v>80</v>
      </c>
      <c r="D837" t="s" s="57">
        <v>16</v>
      </c>
      <c r="E837" s="58">
        <v>17</v>
      </c>
      <c r="F837" s="59">
        <v>32230</v>
      </c>
      <c r="G837" s="59" cm="1">
        <f t="array" ref="G837">E837*F837</f>
        <v>547910</v>
      </c>
      <c r="H837" s="58" cm="1">
        <f t="array" ref="H837">YEAR(A837)</f>
        <v>2026</v>
      </c>
      <c r="I837" t="str" s="60" cm="1">
        <f t="array" ref="I837">"Q"&amp;ROUNDUP(MONTH(A837)/3,0)</f>
        <v>Q2</v>
      </c>
      <c r="J837" t="s" s="57">
        <v>66</v>
      </c>
    </row>
    <row r="838" ht="13.55" customHeight="1">
      <c r="A838" s="51">
        <v>46126</v>
      </c>
      <c r="B838" t="s" s="52">
        <v>23</v>
      </c>
      <c r="C838" t="s" s="52">
        <v>84</v>
      </c>
      <c r="D838" t="s" s="52">
        <v>15</v>
      </c>
      <c r="E838" s="53">
        <v>9</v>
      </c>
      <c r="F838" s="54">
        <v>23108</v>
      </c>
      <c r="G838" s="54" cm="1">
        <f t="array" ref="G838">E838*F838</f>
        <v>207972</v>
      </c>
      <c r="H838" s="53" cm="1">
        <f t="array" ref="H838">YEAR(A838)</f>
        <v>2026</v>
      </c>
      <c r="I838" t="str" s="55" cm="1">
        <f t="array" ref="I838">"Q"&amp;ROUNDUP(MONTH(A838)/3,0)</f>
        <v>Q2</v>
      </c>
      <c r="J838" t="s" s="52">
        <v>66</v>
      </c>
    </row>
    <row r="839" ht="13.55" customHeight="1">
      <c r="A839" s="56">
        <v>46127</v>
      </c>
      <c r="B839" t="s" s="57">
        <v>21</v>
      </c>
      <c r="C839" t="s" s="57">
        <v>84</v>
      </c>
      <c r="D839" t="s" s="57">
        <v>17</v>
      </c>
      <c r="E839" s="58">
        <v>10</v>
      </c>
      <c r="F839" s="59">
        <v>7581</v>
      </c>
      <c r="G839" s="59" cm="1">
        <f t="array" ref="G839">E839*F839</f>
        <v>75810</v>
      </c>
      <c r="H839" s="58" cm="1">
        <f t="array" ref="H839">YEAR(A839)</f>
        <v>2026</v>
      </c>
      <c r="I839" t="str" s="60" cm="1">
        <f t="array" ref="I839">"Q"&amp;ROUNDUP(MONTH(A839)/3,0)</f>
        <v>Q2</v>
      </c>
      <c r="J839" t="s" s="57">
        <v>66</v>
      </c>
    </row>
    <row r="840" ht="13.55" customHeight="1">
      <c r="A840" s="51">
        <v>46128</v>
      </c>
      <c r="B840" t="s" s="52">
        <v>23</v>
      </c>
      <c r="C840" t="s" s="52">
        <v>81</v>
      </c>
      <c r="D840" t="s" s="52">
        <v>15</v>
      </c>
      <c r="E840" s="53">
        <v>8</v>
      </c>
      <c r="F840" s="54">
        <v>68293</v>
      </c>
      <c r="G840" s="54" cm="1">
        <f t="array" ref="G840">E840*F840</f>
        <v>546344</v>
      </c>
      <c r="H840" s="53" cm="1">
        <f t="array" ref="H840">YEAR(A840)</f>
        <v>2026</v>
      </c>
      <c r="I840" t="str" s="55" cm="1">
        <f t="array" ref="I840">"Q"&amp;ROUNDUP(MONTH(A840)/3,0)</f>
        <v>Q2</v>
      </c>
      <c r="J840" t="s" s="52">
        <v>66</v>
      </c>
    </row>
    <row r="841" ht="13.55" customHeight="1">
      <c r="A841" s="56">
        <v>46128</v>
      </c>
      <c r="B841" t="s" s="57">
        <v>22</v>
      </c>
      <c r="C841" t="s" s="57">
        <v>81</v>
      </c>
      <c r="D841" t="s" s="57">
        <v>18</v>
      </c>
      <c r="E841" s="58">
        <v>9</v>
      </c>
      <c r="F841" s="59">
        <v>52937</v>
      </c>
      <c r="G841" s="59" cm="1">
        <f t="array" ref="G841">E841*F841</f>
        <v>476433</v>
      </c>
      <c r="H841" s="58" cm="1">
        <f t="array" ref="H841">YEAR(A841)</f>
        <v>2026</v>
      </c>
      <c r="I841" t="str" s="60" cm="1">
        <f t="array" ref="I841">"Q"&amp;ROUNDUP(MONTH(A841)/3,0)</f>
        <v>Q2</v>
      </c>
      <c r="J841" t="s" s="57">
        <v>66</v>
      </c>
    </row>
    <row r="842" ht="13.55" customHeight="1">
      <c r="A842" s="51">
        <v>46129</v>
      </c>
      <c r="B842" t="s" s="52">
        <v>23</v>
      </c>
      <c r="C842" t="s" s="52">
        <v>80</v>
      </c>
      <c r="D842" t="s" s="52">
        <v>18</v>
      </c>
      <c r="E842" s="53">
        <v>10</v>
      </c>
      <c r="F842" s="54">
        <v>50838</v>
      </c>
      <c r="G842" s="54" cm="1">
        <f t="array" ref="G842">E842*F842</f>
        <v>508380</v>
      </c>
      <c r="H842" s="53" cm="1">
        <f t="array" ref="H842">YEAR(A842)</f>
        <v>2026</v>
      </c>
      <c r="I842" t="str" s="55" cm="1">
        <f t="array" ref="I842">"Q"&amp;ROUNDUP(MONTH(A842)/3,0)</f>
        <v>Q2</v>
      </c>
      <c r="J842" t="s" s="52">
        <v>66</v>
      </c>
    </row>
    <row r="843" ht="13.55" customHeight="1">
      <c r="A843" s="56">
        <v>46130</v>
      </c>
      <c r="B843" t="s" s="57">
        <v>21</v>
      </c>
      <c r="C843" t="s" s="57">
        <v>83</v>
      </c>
      <c r="D843" t="s" s="57">
        <v>16</v>
      </c>
      <c r="E843" s="58">
        <v>17</v>
      </c>
      <c r="F843" s="59">
        <v>13024</v>
      </c>
      <c r="G843" s="59" cm="1">
        <f t="array" ref="G843">E843*F843</f>
        <v>221408</v>
      </c>
      <c r="H843" s="58" cm="1">
        <f t="array" ref="H843">YEAR(A843)</f>
        <v>2026</v>
      </c>
      <c r="I843" t="str" s="60" cm="1">
        <f t="array" ref="I843">"Q"&amp;ROUNDUP(MONTH(A843)/3,0)</f>
        <v>Q2</v>
      </c>
      <c r="J843" t="s" s="57">
        <v>66</v>
      </c>
    </row>
    <row r="844" ht="13.55" customHeight="1">
      <c r="A844" s="51">
        <v>46130</v>
      </c>
      <c r="B844" t="s" s="52">
        <v>20</v>
      </c>
      <c r="C844" t="s" s="52">
        <v>78</v>
      </c>
      <c r="D844" t="s" s="52">
        <v>17</v>
      </c>
      <c r="E844" s="53">
        <v>10</v>
      </c>
      <c r="F844" s="54">
        <v>37115</v>
      </c>
      <c r="G844" s="54" cm="1">
        <f t="array" ref="G844">E844*F844</f>
        <v>371150</v>
      </c>
      <c r="H844" s="53" cm="1">
        <f t="array" ref="H844">YEAR(A844)</f>
        <v>2026</v>
      </c>
      <c r="I844" t="str" s="55" cm="1">
        <f t="array" ref="I844">"Q"&amp;ROUNDUP(MONTH(A844)/3,0)</f>
        <v>Q2</v>
      </c>
      <c r="J844" t="s" s="52">
        <v>66</v>
      </c>
    </row>
    <row r="845" ht="13.55" customHeight="1">
      <c r="A845" s="56">
        <v>46131</v>
      </c>
      <c r="B845" t="s" s="57">
        <v>23</v>
      </c>
      <c r="C845" t="s" s="57">
        <v>81</v>
      </c>
      <c r="D845" t="s" s="57">
        <v>17</v>
      </c>
      <c r="E845" s="58">
        <v>5</v>
      </c>
      <c r="F845" s="59">
        <v>34493</v>
      </c>
      <c r="G845" s="59" cm="1">
        <f t="array" ref="G845">E845*F845</f>
        <v>172465</v>
      </c>
      <c r="H845" s="58" cm="1">
        <f t="array" ref="H845">YEAR(A845)</f>
        <v>2026</v>
      </c>
      <c r="I845" t="str" s="60" cm="1">
        <f t="array" ref="I845">"Q"&amp;ROUNDUP(MONTH(A845)/3,0)</f>
        <v>Q2</v>
      </c>
      <c r="J845" t="s" s="57">
        <v>66</v>
      </c>
    </row>
    <row r="846" ht="13.55" customHeight="1">
      <c r="A846" s="51">
        <v>46132</v>
      </c>
      <c r="B846" t="s" s="52">
        <v>23</v>
      </c>
      <c r="C846" t="s" s="52">
        <v>80</v>
      </c>
      <c r="D846" t="s" s="52">
        <v>16</v>
      </c>
      <c r="E846" s="53">
        <v>14</v>
      </c>
      <c r="F846" s="54">
        <v>45387</v>
      </c>
      <c r="G846" s="54" cm="1">
        <f t="array" ref="G846">E846*F846</f>
        <v>635418</v>
      </c>
      <c r="H846" s="53" cm="1">
        <f t="array" ref="H846">YEAR(A846)</f>
        <v>2026</v>
      </c>
      <c r="I846" t="str" s="55" cm="1">
        <f t="array" ref="I846">"Q"&amp;ROUNDUP(MONTH(A846)/3,0)</f>
        <v>Q2</v>
      </c>
      <c r="J846" t="s" s="52">
        <v>66</v>
      </c>
    </row>
    <row r="847" ht="13.55" customHeight="1">
      <c r="A847" s="56">
        <v>46133</v>
      </c>
      <c r="B847" t="s" s="57">
        <v>22</v>
      </c>
      <c r="C847" t="s" s="57">
        <v>82</v>
      </c>
      <c r="D847" t="s" s="57">
        <v>16</v>
      </c>
      <c r="E847" s="58">
        <v>18</v>
      </c>
      <c r="F847" s="59">
        <v>57509</v>
      </c>
      <c r="G847" s="59" cm="1">
        <f t="array" ref="G847">E847*F847</f>
        <v>1035162</v>
      </c>
      <c r="H847" s="58" cm="1">
        <f t="array" ref="H847">YEAR(A847)</f>
        <v>2026</v>
      </c>
      <c r="I847" t="str" s="60" cm="1">
        <f t="array" ref="I847">"Q"&amp;ROUNDUP(MONTH(A847)/3,0)</f>
        <v>Q2</v>
      </c>
      <c r="J847" t="s" s="57">
        <v>66</v>
      </c>
    </row>
    <row r="848" ht="13.55" customHeight="1">
      <c r="A848" s="51">
        <v>46134</v>
      </c>
      <c r="B848" t="s" s="52">
        <v>22</v>
      </c>
      <c r="C848" t="s" s="52">
        <v>83</v>
      </c>
      <c r="D848" t="s" s="52">
        <v>15</v>
      </c>
      <c r="E848" s="53">
        <v>4</v>
      </c>
      <c r="F848" s="54">
        <v>18780</v>
      </c>
      <c r="G848" s="54" cm="1">
        <f t="array" ref="G848">E848*F848</f>
        <v>75120</v>
      </c>
      <c r="H848" s="53" cm="1">
        <f t="array" ref="H848">YEAR(A848)</f>
        <v>2026</v>
      </c>
      <c r="I848" t="str" s="55" cm="1">
        <f t="array" ref="I848">"Q"&amp;ROUNDUP(MONTH(A848)/3,0)</f>
        <v>Q2</v>
      </c>
      <c r="J848" t="s" s="52">
        <v>66</v>
      </c>
    </row>
    <row r="849" ht="13.55" customHeight="1">
      <c r="A849" s="56">
        <v>46140</v>
      </c>
      <c r="B849" t="s" s="57">
        <v>22</v>
      </c>
      <c r="C849" t="s" s="57">
        <v>81</v>
      </c>
      <c r="D849" t="s" s="57">
        <v>18</v>
      </c>
      <c r="E849" s="58">
        <v>14</v>
      </c>
      <c r="F849" s="59">
        <v>48391</v>
      </c>
      <c r="G849" s="59" cm="1">
        <f t="array" ref="G849">E849*F849</f>
        <v>677474</v>
      </c>
      <c r="H849" s="58" cm="1">
        <f t="array" ref="H849">YEAR(A849)</f>
        <v>2026</v>
      </c>
      <c r="I849" t="str" s="60" cm="1">
        <f t="array" ref="I849">"Q"&amp;ROUNDUP(MONTH(A849)/3,0)</f>
        <v>Q2</v>
      </c>
      <c r="J849" t="s" s="57">
        <v>66</v>
      </c>
    </row>
    <row r="850" ht="13.55" customHeight="1">
      <c r="A850" s="51">
        <v>46142</v>
      </c>
      <c r="B850" t="s" s="52">
        <v>23</v>
      </c>
      <c r="C850" t="s" s="52">
        <v>83</v>
      </c>
      <c r="D850" t="s" s="52">
        <v>18</v>
      </c>
      <c r="E850" s="53">
        <v>9</v>
      </c>
      <c r="F850" s="54">
        <v>8358</v>
      </c>
      <c r="G850" s="54" cm="1">
        <f t="array" ref="G850">E850*F850</f>
        <v>75222</v>
      </c>
      <c r="H850" s="53" cm="1">
        <f t="array" ref="H850">YEAR(A850)</f>
        <v>2026</v>
      </c>
      <c r="I850" t="str" s="55" cm="1">
        <f t="array" ref="I850">"Q"&amp;ROUNDUP(MONTH(A850)/3,0)</f>
        <v>Q2</v>
      </c>
      <c r="J850" t="s" s="52">
        <v>66</v>
      </c>
    </row>
    <row r="851" ht="13.55" customHeight="1">
      <c r="A851" s="56">
        <v>46143</v>
      </c>
      <c r="B851" t="s" s="57">
        <v>22</v>
      </c>
      <c r="C851" t="s" s="57">
        <v>81</v>
      </c>
      <c r="D851" t="s" s="57">
        <v>15</v>
      </c>
      <c r="E851" s="58">
        <v>15</v>
      </c>
      <c r="F851" s="59">
        <v>27588</v>
      </c>
      <c r="G851" s="59" cm="1">
        <f t="array" ref="G851">E851*F851</f>
        <v>413820</v>
      </c>
      <c r="H851" s="58" cm="1">
        <f t="array" ref="H851">YEAR(A851)</f>
        <v>2026</v>
      </c>
      <c r="I851" t="str" s="60" cm="1">
        <f t="array" ref="I851">"Q"&amp;ROUNDUP(MONTH(A851)/3,0)</f>
        <v>Q2</v>
      </c>
      <c r="J851" t="s" s="57">
        <v>67</v>
      </c>
    </row>
    <row r="852" ht="13.55" customHeight="1">
      <c r="A852" s="51">
        <v>46143</v>
      </c>
      <c r="B852" t="s" s="52">
        <v>22</v>
      </c>
      <c r="C852" t="s" s="52">
        <v>78</v>
      </c>
      <c r="D852" t="s" s="52">
        <v>15</v>
      </c>
      <c r="E852" s="53">
        <v>11</v>
      </c>
      <c r="F852" s="54">
        <v>23931</v>
      </c>
      <c r="G852" s="54" cm="1">
        <f t="array" ref="G852">E852*F852</f>
        <v>263241</v>
      </c>
      <c r="H852" s="53" cm="1">
        <f t="array" ref="H852">YEAR(A852)</f>
        <v>2026</v>
      </c>
      <c r="I852" t="str" s="55" cm="1">
        <f t="array" ref="I852">"Q"&amp;ROUNDUP(MONTH(A852)/3,0)</f>
        <v>Q2</v>
      </c>
      <c r="J852" t="s" s="52">
        <v>67</v>
      </c>
    </row>
    <row r="853" ht="13.55" customHeight="1">
      <c r="A853" s="56">
        <v>46145</v>
      </c>
      <c r="B853" t="s" s="57">
        <v>21</v>
      </c>
      <c r="C853" t="s" s="57">
        <v>78</v>
      </c>
      <c r="D853" t="s" s="57">
        <v>16</v>
      </c>
      <c r="E853" s="58">
        <v>13</v>
      </c>
      <c r="F853" s="59">
        <v>28470</v>
      </c>
      <c r="G853" s="59" cm="1">
        <f t="array" ref="G853">E853*F853</f>
        <v>370110</v>
      </c>
      <c r="H853" s="58" cm="1">
        <f t="array" ref="H853">YEAR(A853)</f>
        <v>2026</v>
      </c>
      <c r="I853" t="str" s="60" cm="1">
        <f t="array" ref="I853">"Q"&amp;ROUNDUP(MONTH(A853)/3,0)</f>
        <v>Q2</v>
      </c>
      <c r="J853" t="s" s="57">
        <v>67</v>
      </c>
    </row>
    <row r="854" ht="13.55" customHeight="1">
      <c r="A854" s="51">
        <v>46145</v>
      </c>
      <c r="B854" t="s" s="52">
        <v>20</v>
      </c>
      <c r="C854" t="s" s="52">
        <v>83</v>
      </c>
      <c r="D854" t="s" s="52">
        <v>17</v>
      </c>
      <c r="E854" s="53">
        <v>11</v>
      </c>
      <c r="F854" s="54">
        <v>60571</v>
      </c>
      <c r="G854" s="54" cm="1">
        <f t="array" ref="G854">E854*F854</f>
        <v>666281</v>
      </c>
      <c r="H854" s="53" cm="1">
        <f t="array" ref="H854">YEAR(A854)</f>
        <v>2026</v>
      </c>
      <c r="I854" t="str" s="55" cm="1">
        <f t="array" ref="I854">"Q"&amp;ROUNDUP(MONTH(A854)/3,0)</f>
        <v>Q2</v>
      </c>
      <c r="J854" t="s" s="52">
        <v>67</v>
      </c>
    </row>
    <row r="855" ht="13.55" customHeight="1">
      <c r="A855" s="56">
        <v>46146</v>
      </c>
      <c r="B855" t="s" s="57">
        <v>21</v>
      </c>
      <c r="C855" t="s" s="57">
        <v>84</v>
      </c>
      <c r="D855" t="s" s="57">
        <v>18</v>
      </c>
      <c r="E855" s="58">
        <v>17</v>
      </c>
      <c r="F855" s="59">
        <v>5717</v>
      </c>
      <c r="G855" s="59" cm="1">
        <f t="array" ref="G855">E855*F855</f>
        <v>97189</v>
      </c>
      <c r="H855" s="58" cm="1">
        <f t="array" ref="H855">YEAR(A855)</f>
        <v>2026</v>
      </c>
      <c r="I855" t="str" s="60" cm="1">
        <f t="array" ref="I855">"Q"&amp;ROUNDUP(MONTH(A855)/3,0)</f>
        <v>Q2</v>
      </c>
      <c r="J855" t="s" s="57">
        <v>67</v>
      </c>
    </row>
    <row r="856" ht="13.55" customHeight="1">
      <c r="A856" s="51">
        <v>46148</v>
      </c>
      <c r="B856" t="s" s="52">
        <v>20</v>
      </c>
      <c r="C856" t="s" s="52">
        <v>78</v>
      </c>
      <c r="D856" t="s" s="52">
        <v>15</v>
      </c>
      <c r="E856" s="53">
        <v>13</v>
      </c>
      <c r="F856" s="54">
        <v>29170</v>
      </c>
      <c r="G856" s="54" cm="1">
        <f t="array" ref="G856">E856*F856</f>
        <v>379210</v>
      </c>
      <c r="H856" s="53" cm="1">
        <f t="array" ref="H856">YEAR(A856)</f>
        <v>2026</v>
      </c>
      <c r="I856" t="str" s="55" cm="1">
        <f t="array" ref="I856">"Q"&amp;ROUNDUP(MONTH(A856)/3,0)</f>
        <v>Q2</v>
      </c>
      <c r="J856" t="s" s="52">
        <v>67</v>
      </c>
    </row>
    <row r="857" ht="13.55" customHeight="1">
      <c r="A857" s="56">
        <v>46148</v>
      </c>
      <c r="B857" t="s" s="57">
        <v>22</v>
      </c>
      <c r="C857" t="s" s="57">
        <v>80</v>
      </c>
      <c r="D857" t="s" s="57">
        <v>15</v>
      </c>
      <c r="E857" s="58">
        <v>17</v>
      </c>
      <c r="F857" s="59">
        <v>46167</v>
      </c>
      <c r="G857" s="59" cm="1">
        <f t="array" ref="G857">E857*F857</f>
        <v>784839</v>
      </c>
      <c r="H857" s="58" cm="1">
        <f t="array" ref="H857">YEAR(A857)</f>
        <v>2026</v>
      </c>
      <c r="I857" t="str" s="60" cm="1">
        <f t="array" ref="I857">"Q"&amp;ROUNDUP(MONTH(A857)/3,0)</f>
        <v>Q2</v>
      </c>
      <c r="J857" t="s" s="57">
        <v>67</v>
      </c>
    </row>
    <row r="858" ht="13.55" customHeight="1">
      <c r="A858" s="51">
        <v>46149</v>
      </c>
      <c r="B858" t="s" s="52">
        <v>20</v>
      </c>
      <c r="C858" t="s" s="52">
        <v>82</v>
      </c>
      <c r="D858" t="s" s="52">
        <v>16</v>
      </c>
      <c r="E858" s="53">
        <v>8</v>
      </c>
      <c r="F858" s="54">
        <v>9006</v>
      </c>
      <c r="G858" s="54" cm="1">
        <f t="array" ref="G858">E858*F858</f>
        <v>72048</v>
      </c>
      <c r="H858" s="53" cm="1">
        <f t="array" ref="H858">YEAR(A858)</f>
        <v>2026</v>
      </c>
      <c r="I858" t="str" s="55" cm="1">
        <f t="array" ref="I858">"Q"&amp;ROUNDUP(MONTH(A858)/3,0)</f>
        <v>Q2</v>
      </c>
      <c r="J858" t="s" s="52">
        <v>67</v>
      </c>
    </row>
    <row r="859" ht="13.55" customHeight="1">
      <c r="A859" s="56">
        <v>46149</v>
      </c>
      <c r="B859" t="s" s="57">
        <v>21</v>
      </c>
      <c r="C859" t="s" s="57">
        <v>82</v>
      </c>
      <c r="D859" t="s" s="57">
        <v>16</v>
      </c>
      <c r="E859" s="58">
        <v>15</v>
      </c>
      <c r="F859" s="59">
        <v>76832</v>
      </c>
      <c r="G859" s="59" cm="1">
        <f t="array" ref="G859">E859*F859</f>
        <v>1152480</v>
      </c>
      <c r="H859" s="58" cm="1">
        <f t="array" ref="H859">YEAR(A859)</f>
        <v>2026</v>
      </c>
      <c r="I859" t="str" s="60" cm="1">
        <f t="array" ref="I859">"Q"&amp;ROUNDUP(MONTH(A859)/3,0)</f>
        <v>Q2</v>
      </c>
      <c r="J859" t="s" s="57">
        <v>67</v>
      </c>
    </row>
    <row r="860" ht="13.55" customHeight="1">
      <c r="A860" s="51">
        <v>46152</v>
      </c>
      <c r="B860" t="s" s="52">
        <v>22</v>
      </c>
      <c r="C860" t="s" s="52">
        <v>81</v>
      </c>
      <c r="D860" t="s" s="52">
        <v>18</v>
      </c>
      <c r="E860" s="53">
        <v>11</v>
      </c>
      <c r="F860" s="54">
        <v>22618</v>
      </c>
      <c r="G860" s="54" cm="1">
        <f t="array" ref="G860">E860*F860</f>
        <v>248798</v>
      </c>
      <c r="H860" s="53" cm="1">
        <f t="array" ref="H860">YEAR(A860)</f>
        <v>2026</v>
      </c>
      <c r="I860" t="str" s="55" cm="1">
        <f t="array" ref="I860">"Q"&amp;ROUNDUP(MONTH(A860)/3,0)</f>
        <v>Q2</v>
      </c>
      <c r="J860" t="s" s="52">
        <v>67</v>
      </c>
    </row>
    <row r="861" ht="13.55" customHeight="1">
      <c r="A861" s="56">
        <v>46152</v>
      </c>
      <c r="B861" t="s" s="57">
        <v>20</v>
      </c>
      <c r="C861" t="s" s="57">
        <v>78</v>
      </c>
      <c r="D861" t="s" s="57">
        <v>18</v>
      </c>
      <c r="E861" s="58">
        <v>8</v>
      </c>
      <c r="F861" s="59">
        <v>78493</v>
      </c>
      <c r="G861" s="59" cm="1">
        <f t="array" ref="G861">E861*F861</f>
        <v>627944</v>
      </c>
      <c r="H861" s="58" cm="1">
        <f t="array" ref="H861">YEAR(A861)</f>
        <v>2026</v>
      </c>
      <c r="I861" t="str" s="60" cm="1">
        <f t="array" ref="I861">"Q"&amp;ROUNDUP(MONTH(A861)/3,0)</f>
        <v>Q2</v>
      </c>
      <c r="J861" t="s" s="57">
        <v>67</v>
      </c>
    </row>
    <row r="862" ht="13.55" customHeight="1">
      <c r="A862" s="51">
        <v>46152</v>
      </c>
      <c r="B862" t="s" s="52">
        <v>22</v>
      </c>
      <c r="C862" t="s" s="52">
        <v>83</v>
      </c>
      <c r="D862" t="s" s="52">
        <v>15</v>
      </c>
      <c r="E862" s="53">
        <v>15</v>
      </c>
      <c r="F862" s="54">
        <v>5112</v>
      </c>
      <c r="G862" s="54" cm="1">
        <f t="array" ref="G862">E862*F862</f>
        <v>76680</v>
      </c>
      <c r="H862" s="53" cm="1">
        <f t="array" ref="H862">YEAR(A862)</f>
        <v>2026</v>
      </c>
      <c r="I862" t="str" s="55" cm="1">
        <f t="array" ref="I862">"Q"&amp;ROUNDUP(MONTH(A862)/3,0)</f>
        <v>Q2</v>
      </c>
      <c r="J862" t="s" s="52">
        <v>67</v>
      </c>
    </row>
    <row r="863" ht="13.55" customHeight="1">
      <c r="A863" s="56">
        <v>46154</v>
      </c>
      <c r="B863" t="s" s="57">
        <v>22</v>
      </c>
      <c r="C863" t="s" s="57">
        <v>81</v>
      </c>
      <c r="D863" t="s" s="57">
        <v>15</v>
      </c>
      <c r="E863" s="58">
        <v>19</v>
      </c>
      <c r="F863" s="59">
        <v>26869</v>
      </c>
      <c r="G863" s="59" cm="1">
        <f t="array" ref="G863">E863*F863</f>
        <v>510511</v>
      </c>
      <c r="H863" s="58" cm="1">
        <f t="array" ref="H863">YEAR(A863)</f>
        <v>2026</v>
      </c>
      <c r="I863" t="str" s="60" cm="1">
        <f t="array" ref="I863">"Q"&amp;ROUNDUP(MONTH(A863)/3,0)</f>
        <v>Q2</v>
      </c>
      <c r="J863" t="s" s="57">
        <v>67</v>
      </c>
    </row>
    <row r="864" ht="13.55" customHeight="1">
      <c r="A864" s="51">
        <v>46155</v>
      </c>
      <c r="B864" t="s" s="52">
        <v>21</v>
      </c>
      <c r="C864" t="s" s="52">
        <v>84</v>
      </c>
      <c r="D864" t="s" s="52">
        <v>18</v>
      </c>
      <c r="E864" s="53">
        <v>4</v>
      </c>
      <c r="F864" s="54">
        <v>49535</v>
      </c>
      <c r="G864" s="54" cm="1">
        <f t="array" ref="G864">E864*F864</f>
        <v>198140</v>
      </c>
      <c r="H864" s="53" cm="1">
        <f t="array" ref="H864">YEAR(A864)</f>
        <v>2026</v>
      </c>
      <c r="I864" t="str" s="55" cm="1">
        <f t="array" ref="I864">"Q"&amp;ROUNDUP(MONTH(A864)/3,0)</f>
        <v>Q2</v>
      </c>
      <c r="J864" t="s" s="52">
        <v>67</v>
      </c>
    </row>
    <row r="865" ht="13.55" customHeight="1">
      <c r="A865" s="56">
        <v>46155</v>
      </c>
      <c r="B865" t="s" s="57">
        <v>22</v>
      </c>
      <c r="C865" t="s" s="57">
        <v>84</v>
      </c>
      <c r="D865" t="s" s="57">
        <v>16</v>
      </c>
      <c r="E865" s="58">
        <v>4</v>
      </c>
      <c r="F865" s="59">
        <v>16087</v>
      </c>
      <c r="G865" s="59" cm="1">
        <f t="array" ref="G865">E865*F865</f>
        <v>64348</v>
      </c>
      <c r="H865" s="58" cm="1">
        <f t="array" ref="H865">YEAR(A865)</f>
        <v>2026</v>
      </c>
      <c r="I865" t="str" s="60" cm="1">
        <f t="array" ref="I865">"Q"&amp;ROUNDUP(MONTH(A865)/3,0)</f>
        <v>Q2</v>
      </c>
      <c r="J865" t="s" s="57">
        <v>67</v>
      </c>
    </row>
    <row r="866" ht="13.55" customHeight="1">
      <c r="A866" s="51">
        <v>46158</v>
      </c>
      <c r="B866" t="s" s="52">
        <v>22</v>
      </c>
      <c r="C866" t="s" s="52">
        <v>80</v>
      </c>
      <c r="D866" t="s" s="52">
        <v>15</v>
      </c>
      <c r="E866" s="53">
        <v>4</v>
      </c>
      <c r="F866" s="54">
        <v>6051</v>
      </c>
      <c r="G866" s="54" cm="1">
        <f t="array" ref="G866">E866*F866</f>
        <v>24204</v>
      </c>
      <c r="H866" s="53" cm="1">
        <f t="array" ref="H866">YEAR(A866)</f>
        <v>2026</v>
      </c>
      <c r="I866" t="str" s="55" cm="1">
        <f t="array" ref="I866">"Q"&amp;ROUNDUP(MONTH(A866)/3,0)</f>
        <v>Q2</v>
      </c>
      <c r="J866" t="s" s="52">
        <v>67</v>
      </c>
    </row>
    <row r="867" ht="13.55" customHeight="1">
      <c r="A867" s="56">
        <v>46158</v>
      </c>
      <c r="B867" t="s" s="57">
        <v>22</v>
      </c>
      <c r="C867" t="s" s="57">
        <v>82</v>
      </c>
      <c r="D867" t="s" s="57">
        <v>18</v>
      </c>
      <c r="E867" s="58">
        <v>13</v>
      </c>
      <c r="F867" s="59">
        <v>49254</v>
      </c>
      <c r="G867" s="59" cm="1">
        <f t="array" ref="G867">E867*F867</f>
        <v>640302</v>
      </c>
      <c r="H867" s="58" cm="1">
        <f t="array" ref="H867">YEAR(A867)</f>
        <v>2026</v>
      </c>
      <c r="I867" t="str" s="60" cm="1">
        <f t="array" ref="I867">"Q"&amp;ROUNDUP(MONTH(A867)/3,0)</f>
        <v>Q2</v>
      </c>
      <c r="J867" t="s" s="57">
        <v>67</v>
      </c>
    </row>
    <row r="868" ht="13.55" customHeight="1">
      <c r="A868" s="51">
        <v>46158</v>
      </c>
      <c r="B868" t="s" s="52">
        <v>20</v>
      </c>
      <c r="C868" t="s" s="52">
        <v>78</v>
      </c>
      <c r="D868" t="s" s="52">
        <v>15</v>
      </c>
      <c r="E868" s="53">
        <v>6</v>
      </c>
      <c r="F868" s="54">
        <v>29519</v>
      </c>
      <c r="G868" s="54" cm="1">
        <f t="array" ref="G868">E868*F868</f>
        <v>177114</v>
      </c>
      <c r="H868" s="53" cm="1">
        <f t="array" ref="H868">YEAR(A868)</f>
        <v>2026</v>
      </c>
      <c r="I868" t="str" s="55" cm="1">
        <f t="array" ref="I868">"Q"&amp;ROUNDUP(MONTH(A868)/3,0)</f>
        <v>Q2</v>
      </c>
      <c r="J868" t="s" s="52">
        <v>67</v>
      </c>
    </row>
    <row r="869" ht="13.55" customHeight="1">
      <c r="A869" s="56">
        <v>46160</v>
      </c>
      <c r="B869" t="s" s="57">
        <v>23</v>
      </c>
      <c r="C869" t="s" s="57">
        <v>83</v>
      </c>
      <c r="D869" t="s" s="57">
        <v>16</v>
      </c>
      <c r="E869" s="58">
        <v>12</v>
      </c>
      <c r="F869" s="59">
        <v>27800</v>
      </c>
      <c r="G869" s="59" cm="1">
        <f t="array" ref="G869">E869*F869</f>
        <v>333600</v>
      </c>
      <c r="H869" s="58" cm="1">
        <f t="array" ref="H869">YEAR(A869)</f>
        <v>2026</v>
      </c>
      <c r="I869" t="str" s="60" cm="1">
        <f t="array" ref="I869">"Q"&amp;ROUNDUP(MONTH(A869)/3,0)</f>
        <v>Q2</v>
      </c>
      <c r="J869" t="s" s="57">
        <v>67</v>
      </c>
    </row>
    <row r="870" ht="13.55" customHeight="1">
      <c r="A870" s="51">
        <v>46160</v>
      </c>
      <c r="B870" t="s" s="52">
        <v>21</v>
      </c>
      <c r="C870" t="s" s="52">
        <v>81</v>
      </c>
      <c r="D870" t="s" s="52">
        <v>15</v>
      </c>
      <c r="E870" s="53">
        <v>1</v>
      </c>
      <c r="F870" s="54">
        <v>10313</v>
      </c>
      <c r="G870" s="54" cm="1">
        <f t="array" ref="G870">E870*F870</f>
        <v>10313</v>
      </c>
      <c r="H870" s="53" cm="1">
        <f t="array" ref="H870">YEAR(A870)</f>
        <v>2026</v>
      </c>
      <c r="I870" t="str" s="55" cm="1">
        <f t="array" ref="I870">"Q"&amp;ROUNDUP(MONTH(A870)/3,0)</f>
        <v>Q2</v>
      </c>
      <c r="J870" t="s" s="52">
        <v>67</v>
      </c>
    </row>
    <row r="871" ht="13.55" customHeight="1">
      <c r="A871" s="56">
        <v>46162</v>
      </c>
      <c r="B871" t="s" s="57">
        <v>21</v>
      </c>
      <c r="C871" t="s" s="57">
        <v>80</v>
      </c>
      <c r="D871" t="s" s="57">
        <v>16</v>
      </c>
      <c r="E871" s="58">
        <v>7</v>
      </c>
      <c r="F871" s="59">
        <v>62620</v>
      </c>
      <c r="G871" s="59" cm="1">
        <f t="array" ref="G871">E871*F871</f>
        <v>438340</v>
      </c>
      <c r="H871" s="58" cm="1">
        <f t="array" ref="H871">YEAR(A871)</f>
        <v>2026</v>
      </c>
      <c r="I871" t="str" s="60" cm="1">
        <f t="array" ref="I871">"Q"&amp;ROUNDUP(MONTH(A871)/3,0)</f>
        <v>Q2</v>
      </c>
      <c r="J871" t="s" s="57">
        <v>67</v>
      </c>
    </row>
    <row r="872" ht="13.55" customHeight="1">
      <c r="A872" s="51">
        <v>46163</v>
      </c>
      <c r="B872" t="s" s="52">
        <v>23</v>
      </c>
      <c r="C872" t="s" s="52">
        <v>80</v>
      </c>
      <c r="D872" t="s" s="52">
        <v>16</v>
      </c>
      <c r="E872" s="53">
        <v>18</v>
      </c>
      <c r="F872" s="54">
        <v>44104</v>
      </c>
      <c r="G872" s="54" cm="1">
        <f t="array" ref="G872">E872*F872</f>
        <v>793872</v>
      </c>
      <c r="H872" s="53" cm="1">
        <f t="array" ref="H872">YEAR(A872)</f>
        <v>2026</v>
      </c>
      <c r="I872" t="str" s="55" cm="1">
        <f t="array" ref="I872">"Q"&amp;ROUNDUP(MONTH(A872)/3,0)</f>
        <v>Q2</v>
      </c>
      <c r="J872" t="s" s="52">
        <v>67</v>
      </c>
    </row>
    <row r="873" ht="13.55" customHeight="1">
      <c r="A873" s="56">
        <v>46163</v>
      </c>
      <c r="B873" t="s" s="57">
        <v>22</v>
      </c>
      <c r="C873" t="s" s="57">
        <v>81</v>
      </c>
      <c r="D873" t="s" s="57">
        <v>17</v>
      </c>
      <c r="E873" s="58">
        <v>1</v>
      </c>
      <c r="F873" s="59">
        <v>55516</v>
      </c>
      <c r="G873" s="59" cm="1">
        <f t="array" ref="G873">E873*F873</f>
        <v>55516</v>
      </c>
      <c r="H873" s="58" cm="1">
        <f t="array" ref="H873">YEAR(A873)</f>
        <v>2026</v>
      </c>
      <c r="I873" t="str" s="60" cm="1">
        <f t="array" ref="I873">"Q"&amp;ROUNDUP(MONTH(A873)/3,0)</f>
        <v>Q2</v>
      </c>
      <c r="J873" t="s" s="57">
        <v>67</v>
      </c>
    </row>
    <row r="874" ht="13.55" customHeight="1">
      <c r="A874" s="51">
        <v>46163</v>
      </c>
      <c r="B874" t="s" s="52">
        <v>23</v>
      </c>
      <c r="C874" t="s" s="52">
        <v>83</v>
      </c>
      <c r="D874" t="s" s="52">
        <v>15</v>
      </c>
      <c r="E874" s="53">
        <v>19</v>
      </c>
      <c r="F874" s="54">
        <v>63847</v>
      </c>
      <c r="G874" s="54" cm="1">
        <f t="array" ref="G874">E874*F874</f>
        <v>1213093</v>
      </c>
      <c r="H874" s="53" cm="1">
        <f t="array" ref="H874">YEAR(A874)</f>
        <v>2026</v>
      </c>
      <c r="I874" t="str" s="55" cm="1">
        <f t="array" ref="I874">"Q"&amp;ROUNDUP(MONTH(A874)/3,0)</f>
        <v>Q2</v>
      </c>
      <c r="J874" t="s" s="52">
        <v>67</v>
      </c>
    </row>
    <row r="875" ht="13.55" customHeight="1">
      <c r="A875" s="56">
        <v>46163</v>
      </c>
      <c r="B875" t="s" s="57">
        <v>22</v>
      </c>
      <c r="C875" t="s" s="57">
        <v>83</v>
      </c>
      <c r="D875" t="s" s="57">
        <v>15</v>
      </c>
      <c r="E875" s="58">
        <v>12</v>
      </c>
      <c r="F875" s="59">
        <v>8765</v>
      </c>
      <c r="G875" s="59" cm="1">
        <f t="array" ref="G875">E875*F875</f>
        <v>105180</v>
      </c>
      <c r="H875" s="58" cm="1">
        <f t="array" ref="H875">YEAR(A875)</f>
        <v>2026</v>
      </c>
      <c r="I875" t="str" s="60" cm="1">
        <f t="array" ref="I875">"Q"&amp;ROUNDUP(MONTH(A875)/3,0)</f>
        <v>Q2</v>
      </c>
      <c r="J875" t="s" s="57">
        <v>67</v>
      </c>
    </row>
    <row r="876" ht="13.55" customHeight="1">
      <c r="A876" s="51">
        <v>46163</v>
      </c>
      <c r="B876" t="s" s="52">
        <v>21</v>
      </c>
      <c r="C876" t="s" s="52">
        <v>81</v>
      </c>
      <c r="D876" t="s" s="52">
        <v>17</v>
      </c>
      <c r="E876" s="53">
        <v>11</v>
      </c>
      <c r="F876" s="54">
        <v>10103</v>
      </c>
      <c r="G876" s="54" cm="1">
        <f t="array" ref="G876">E876*F876</f>
        <v>111133</v>
      </c>
      <c r="H876" s="53" cm="1">
        <f t="array" ref="H876">YEAR(A876)</f>
        <v>2026</v>
      </c>
      <c r="I876" t="str" s="55" cm="1">
        <f t="array" ref="I876">"Q"&amp;ROUNDUP(MONTH(A876)/3,0)</f>
        <v>Q2</v>
      </c>
      <c r="J876" t="s" s="52">
        <v>67</v>
      </c>
    </row>
    <row r="877" ht="13.55" customHeight="1">
      <c r="A877" s="56">
        <v>46164</v>
      </c>
      <c r="B877" t="s" s="57">
        <v>20</v>
      </c>
      <c r="C877" t="s" s="57">
        <v>82</v>
      </c>
      <c r="D877" t="s" s="57">
        <v>15</v>
      </c>
      <c r="E877" s="58">
        <v>15</v>
      </c>
      <c r="F877" s="59">
        <v>61563</v>
      </c>
      <c r="G877" s="59" cm="1">
        <f t="array" ref="G877">E877*F877</f>
        <v>923445</v>
      </c>
      <c r="H877" s="58" cm="1">
        <f t="array" ref="H877">YEAR(A877)</f>
        <v>2026</v>
      </c>
      <c r="I877" t="str" s="60" cm="1">
        <f t="array" ref="I877">"Q"&amp;ROUNDUP(MONTH(A877)/3,0)</f>
        <v>Q2</v>
      </c>
      <c r="J877" t="s" s="57">
        <v>67</v>
      </c>
    </row>
    <row r="878" ht="13.55" customHeight="1">
      <c r="A878" s="51">
        <v>46167</v>
      </c>
      <c r="B878" t="s" s="52">
        <v>20</v>
      </c>
      <c r="C878" t="s" s="52">
        <v>80</v>
      </c>
      <c r="D878" t="s" s="52">
        <v>17</v>
      </c>
      <c r="E878" s="53">
        <v>5</v>
      </c>
      <c r="F878" s="54">
        <v>19011</v>
      </c>
      <c r="G878" s="54" cm="1">
        <f t="array" ref="G878">E878*F878</f>
        <v>95055</v>
      </c>
      <c r="H878" s="53" cm="1">
        <f t="array" ref="H878">YEAR(A878)</f>
        <v>2026</v>
      </c>
      <c r="I878" t="str" s="55" cm="1">
        <f t="array" ref="I878">"Q"&amp;ROUNDUP(MONTH(A878)/3,0)</f>
        <v>Q2</v>
      </c>
      <c r="J878" t="s" s="52">
        <v>67</v>
      </c>
    </row>
    <row r="879" ht="13.55" customHeight="1">
      <c r="A879" s="56">
        <v>46167</v>
      </c>
      <c r="B879" t="s" s="57">
        <v>22</v>
      </c>
      <c r="C879" t="s" s="57">
        <v>83</v>
      </c>
      <c r="D879" t="s" s="57">
        <v>17</v>
      </c>
      <c r="E879" s="58">
        <v>9</v>
      </c>
      <c r="F879" s="59">
        <v>39510</v>
      </c>
      <c r="G879" s="59" cm="1">
        <f t="array" ref="G879">E879*F879</f>
        <v>355590</v>
      </c>
      <c r="H879" s="58" cm="1">
        <f t="array" ref="H879">YEAR(A879)</f>
        <v>2026</v>
      </c>
      <c r="I879" t="str" s="60" cm="1">
        <f t="array" ref="I879">"Q"&amp;ROUNDUP(MONTH(A879)/3,0)</f>
        <v>Q2</v>
      </c>
      <c r="J879" t="s" s="57">
        <v>67</v>
      </c>
    </row>
    <row r="880" ht="13.55" customHeight="1">
      <c r="A880" s="51">
        <v>46168</v>
      </c>
      <c r="B880" t="s" s="52">
        <v>20</v>
      </c>
      <c r="C880" t="s" s="52">
        <v>78</v>
      </c>
      <c r="D880" t="s" s="52">
        <v>18</v>
      </c>
      <c r="E880" s="53">
        <v>7</v>
      </c>
      <c r="F880" s="54">
        <v>21351</v>
      </c>
      <c r="G880" s="54" cm="1">
        <f t="array" ref="G880">E880*F880</f>
        <v>149457</v>
      </c>
      <c r="H880" s="53" cm="1">
        <f t="array" ref="H880">YEAR(A880)</f>
        <v>2026</v>
      </c>
      <c r="I880" t="str" s="55" cm="1">
        <f t="array" ref="I880">"Q"&amp;ROUNDUP(MONTH(A880)/3,0)</f>
        <v>Q2</v>
      </c>
      <c r="J880" t="s" s="52">
        <v>67</v>
      </c>
    </row>
    <row r="881" ht="13.55" customHeight="1">
      <c r="A881" s="56">
        <v>46169</v>
      </c>
      <c r="B881" t="s" s="57">
        <v>23</v>
      </c>
      <c r="C881" t="s" s="57">
        <v>83</v>
      </c>
      <c r="D881" t="s" s="57">
        <v>18</v>
      </c>
      <c r="E881" s="58">
        <v>17</v>
      </c>
      <c r="F881" s="59">
        <v>29031</v>
      </c>
      <c r="G881" s="59" cm="1">
        <f t="array" ref="G881">E881*F881</f>
        <v>493527</v>
      </c>
      <c r="H881" s="58" cm="1">
        <f t="array" ref="H881">YEAR(A881)</f>
        <v>2026</v>
      </c>
      <c r="I881" t="str" s="60" cm="1">
        <f t="array" ref="I881">"Q"&amp;ROUNDUP(MONTH(A881)/3,0)</f>
        <v>Q2</v>
      </c>
      <c r="J881" t="s" s="57">
        <v>67</v>
      </c>
    </row>
    <row r="882" ht="13.55" customHeight="1">
      <c r="A882" s="51">
        <v>46170</v>
      </c>
      <c r="B882" t="s" s="52">
        <v>21</v>
      </c>
      <c r="C882" t="s" s="52">
        <v>83</v>
      </c>
      <c r="D882" t="s" s="52">
        <v>18</v>
      </c>
      <c r="E882" s="53">
        <v>2</v>
      </c>
      <c r="F882" s="54">
        <v>31149</v>
      </c>
      <c r="G882" s="54" cm="1">
        <f t="array" ref="G882">E882*F882</f>
        <v>62298</v>
      </c>
      <c r="H882" s="53" cm="1">
        <f t="array" ref="H882">YEAR(A882)</f>
        <v>2026</v>
      </c>
      <c r="I882" t="str" s="55" cm="1">
        <f t="array" ref="I882">"Q"&amp;ROUNDUP(MONTH(A882)/3,0)</f>
        <v>Q2</v>
      </c>
      <c r="J882" t="s" s="52">
        <v>67</v>
      </c>
    </row>
    <row r="883" ht="13.55" customHeight="1">
      <c r="A883" s="56">
        <v>46170</v>
      </c>
      <c r="B883" t="s" s="57">
        <v>22</v>
      </c>
      <c r="C883" t="s" s="57">
        <v>82</v>
      </c>
      <c r="D883" t="s" s="57">
        <v>15</v>
      </c>
      <c r="E883" s="58">
        <v>2</v>
      </c>
      <c r="F883" s="59">
        <v>11644</v>
      </c>
      <c r="G883" s="59" cm="1">
        <f t="array" ref="G883">E883*F883</f>
        <v>23288</v>
      </c>
      <c r="H883" s="58" cm="1">
        <f t="array" ref="H883">YEAR(A883)</f>
        <v>2026</v>
      </c>
      <c r="I883" t="str" s="60" cm="1">
        <f t="array" ref="I883">"Q"&amp;ROUNDUP(MONTH(A883)/3,0)</f>
        <v>Q2</v>
      </c>
      <c r="J883" t="s" s="57">
        <v>67</v>
      </c>
    </row>
    <row r="884" ht="13.55" customHeight="1">
      <c r="A884" s="51">
        <v>46171</v>
      </c>
      <c r="B884" t="s" s="52">
        <v>20</v>
      </c>
      <c r="C884" t="s" s="52">
        <v>80</v>
      </c>
      <c r="D884" t="s" s="52">
        <v>15</v>
      </c>
      <c r="E884" s="53">
        <v>12</v>
      </c>
      <c r="F884" s="54">
        <v>40944</v>
      </c>
      <c r="G884" s="54" cm="1">
        <f t="array" ref="G884">E884*F884</f>
        <v>491328</v>
      </c>
      <c r="H884" s="53" cm="1">
        <f t="array" ref="H884">YEAR(A884)</f>
        <v>2026</v>
      </c>
      <c r="I884" t="str" s="55" cm="1">
        <f t="array" ref="I884">"Q"&amp;ROUNDUP(MONTH(A884)/3,0)</f>
        <v>Q2</v>
      </c>
      <c r="J884" t="s" s="52">
        <v>67</v>
      </c>
    </row>
    <row r="885" ht="13.55" customHeight="1">
      <c r="A885" s="56">
        <v>46172</v>
      </c>
      <c r="B885" t="s" s="57">
        <v>20</v>
      </c>
      <c r="C885" t="s" s="57">
        <v>78</v>
      </c>
      <c r="D885" t="s" s="57">
        <v>18</v>
      </c>
      <c r="E885" s="58">
        <v>12</v>
      </c>
      <c r="F885" s="59">
        <v>44178</v>
      </c>
      <c r="G885" s="59" cm="1">
        <f t="array" ref="G885">E885*F885</f>
        <v>530136</v>
      </c>
      <c r="H885" s="58" cm="1">
        <f t="array" ref="H885">YEAR(A885)</f>
        <v>2026</v>
      </c>
      <c r="I885" t="str" s="60" cm="1">
        <f t="array" ref="I885">"Q"&amp;ROUNDUP(MONTH(A885)/3,0)</f>
        <v>Q2</v>
      </c>
      <c r="J885" t="s" s="57">
        <v>67</v>
      </c>
    </row>
    <row r="886" ht="13.55" customHeight="1">
      <c r="A886" s="51">
        <v>46172</v>
      </c>
      <c r="B886" t="s" s="52">
        <v>20</v>
      </c>
      <c r="C886" t="s" s="52">
        <v>82</v>
      </c>
      <c r="D886" t="s" s="52">
        <v>18</v>
      </c>
      <c r="E886" s="53">
        <v>7</v>
      </c>
      <c r="F886" s="54">
        <v>5307</v>
      </c>
      <c r="G886" s="54" cm="1">
        <f t="array" ref="G886">E886*F886</f>
        <v>37149</v>
      </c>
      <c r="H886" s="53" cm="1">
        <f t="array" ref="H886">YEAR(A886)</f>
        <v>2026</v>
      </c>
      <c r="I886" t="str" s="55" cm="1">
        <f t="array" ref="I886">"Q"&amp;ROUNDUP(MONTH(A886)/3,0)</f>
        <v>Q2</v>
      </c>
      <c r="J886" t="s" s="52">
        <v>67</v>
      </c>
    </row>
    <row r="887" ht="13.55" customHeight="1">
      <c r="A887" s="56">
        <v>46174</v>
      </c>
      <c r="B887" t="s" s="57">
        <v>21</v>
      </c>
      <c r="C887" t="s" s="57">
        <v>84</v>
      </c>
      <c r="D887" t="s" s="57">
        <v>18</v>
      </c>
      <c r="E887" s="58">
        <v>5</v>
      </c>
      <c r="F887" s="59">
        <v>21806</v>
      </c>
      <c r="G887" s="59" cm="1">
        <f t="array" ref="G887">E887*F887</f>
        <v>109030</v>
      </c>
      <c r="H887" s="58" cm="1">
        <f t="array" ref="H887">YEAR(A887)</f>
        <v>2026</v>
      </c>
      <c r="I887" t="str" s="60" cm="1">
        <f t="array" ref="I887">"Q"&amp;ROUNDUP(MONTH(A887)/3,0)</f>
        <v>Q2</v>
      </c>
      <c r="J887" t="s" s="57">
        <v>68</v>
      </c>
    </row>
    <row r="888" ht="13.55" customHeight="1">
      <c r="A888" s="51">
        <v>46174</v>
      </c>
      <c r="B888" t="s" s="52">
        <v>21</v>
      </c>
      <c r="C888" t="s" s="52">
        <v>80</v>
      </c>
      <c r="D888" t="s" s="52">
        <v>15</v>
      </c>
      <c r="E888" s="53">
        <v>6</v>
      </c>
      <c r="F888" s="54">
        <v>51830</v>
      </c>
      <c r="G888" s="54" cm="1">
        <f t="array" ref="G888">E888*F888</f>
        <v>310980</v>
      </c>
      <c r="H888" s="53" cm="1">
        <f t="array" ref="H888">YEAR(A888)</f>
        <v>2026</v>
      </c>
      <c r="I888" t="str" s="55" cm="1">
        <f t="array" ref="I888">"Q"&amp;ROUNDUP(MONTH(A888)/3,0)</f>
        <v>Q2</v>
      </c>
      <c r="J888" t="s" s="52">
        <v>68</v>
      </c>
    </row>
    <row r="889" ht="13.55" customHeight="1">
      <c r="A889" s="56">
        <v>46174</v>
      </c>
      <c r="B889" t="s" s="57">
        <v>20</v>
      </c>
      <c r="C889" t="s" s="57">
        <v>84</v>
      </c>
      <c r="D889" t="s" s="57">
        <v>16</v>
      </c>
      <c r="E889" s="58">
        <v>17</v>
      </c>
      <c r="F889" s="59">
        <v>40503</v>
      </c>
      <c r="G889" s="59" cm="1">
        <f t="array" ref="G889">E889*F889</f>
        <v>688551</v>
      </c>
      <c r="H889" s="58" cm="1">
        <f t="array" ref="H889">YEAR(A889)</f>
        <v>2026</v>
      </c>
      <c r="I889" t="str" s="60" cm="1">
        <f t="array" ref="I889">"Q"&amp;ROUNDUP(MONTH(A889)/3,0)</f>
        <v>Q2</v>
      </c>
      <c r="J889" t="s" s="57">
        <v>68</v>
      </c>
    </row>
    <row r="890" ht="13.55" customHeight="1">
      <c r="A890" s="51">
        <v>46175</v>
      </c>
      <c r="B890" t="s" s="52">
        <v>23</v>
      </c>
      <c r="C890" t="s" s="52">
        <v>82</v>
      </c>
      <c r="D890" t="s" s="52">
        <v>15</v>
      </c>
      <c r="E890" s="53">
        <v>17</v>
      </c>
      <c r="F890" s="54">
        <v>11476</v>
      </c>
      <c r="G890" s="54" cm="1">
        <f t="array" ref="G890">E890*F890</f>
        <v>195092</v>
      </c>
      <c r="H890" s="53" cm="1">
        <f t="array" ref="H890">YEAR(A890)</f>
        <v>2026</v>
      </c>
      <c r="I890" t="str" s="55" cm="1">
        <f t="array" ref="I890">"Q"&amp;ROUNDUP(MONTH(A890)/3,0)</f>
        <v>Q2</v>
      </c>
      <c r="J890" t="s" s="52">
        <v>68</v>
      </c>
    </row>
    <row r="891" ht="13.55" customHeight="1">
      <c r="A891" s="56">
        <v>46175</v>
      </c>
      <c r="B891" t="s" s="57">
        <v>23</v>
      </c>
      <c r="C891" t="s" s="57">
        <v>78</v>
      </c>
      <c r="D891" t="s" s="57">
        <v>18</v>
      </c>
      <c r="E891" s="58">
        <v>13</v>
      </c>
      <c r="F891" s="59">
        <v>49825</v>
      </c>
      <c r="G891" s="59" cm="1">
        <f t="array" ref="G891">E891*F891</f>
        <v>647725</v>
      </c>
      <c r="H891" s="58" cm="1">
        <f t="array" ref="H891">YEAR(A891)</f>
        <v>2026</v>
      </c>
      <c r="I891" t="str" s="60" cm="1">
        <f t="array" ref="I891">"Q"&amp;ROUNDUP(MONTH(A891)/3,0)</f>
        <v>Q2</v>
      </c>
      <c r="J891" t="s" s="57">
        <v>68</v>
      </c>
    </row>
    <row r="892" ht="13.55" customHeight="1">
      <c r="A892" s="51">
        <v>46176</v>
      </c>
      <c r="B892" t="s" s="52">
        <v>22</v>
      </c>
      <c r="C892" t="s" s="52">
        <v>80</v>
      </c>
      <c r="D892" t="s" s="52">
        <v>17</v>
      </c>
      <c r="E892" s="53">
        <v>4</v>
      </c>
      <c r="F892" s="54">
        <v>48856</v>
      </c>
      <c r="G892" s="54" cm="1">
        <f t="array" ref="G892">E892*F892</f>
        <v>195424</v>
      </c>
      <c r="H892" s="53" cm="1">
        <f t="array" ref="H892">YEAR(A892)</f>
        <v>2026</v>
      </c>
      <c r="I892" t="str" s="55" cm="1">
        <f t="array" ref="I892">"Q"&amp;ROUNDUP(MONTH(A892)/3,0)</f>
        <v>Q2</v>
      </c>
      <c r="J892" t="s" s="52">
        <v>68</v>
      </c>
    </row>
    <row r="893" ht="13.55" customHeight="1">
      <c r="A893" s="56">
        <v>46176</v>
      </c>
      <c r="B893" t="s" s="57">
        <v>20</v>
      </c>
      <c r="C893" t="s" s="57">
        <v>80</v>
      </c>
      <c r="D893" t="s" s="57">
        <v>15</v>
      </c>
      <c r="E893" s="58">
        <v>7</v>
      </c>
      <c r="F893" s="59">
        <v>36349</v>
      </c>
      <c r="G893" s="59" cm="1">
        <f t="array" ref="G893">E893*F893</f>
        <v>254443</v>
      </c>
      <c r="H893" s="58" cm="1">
        <f t="array" ref="H893">YEAR(A893)</f>
        <v>2026</v>
      </c>
      <c r="I893" t="str" s="60" cm="1">
        <f t="array" ref="I893">"Q"&amp;ROUNDUP(MONTH(A893)/3,0)</f>
        <v>Q2</v>
      </c>
      <c r="J893" t="s" s="57">
        <v>68</v>
      </c>
    </row>
    <row r="894" ht="13.55" customHeight="1">
      <c r="A894" s="51">
        <v>46177</v>
      </c>
      <c r="B894" t="s" s="52">
        <v>22</v>
      </c>
      <c r="C894" t="s" s="52">
        <v>81</v>
      </c>
      <c r="D894" t="s" s="52">
        <v>18</v>
      </c>
      <c r="E894" s="53">
        <v>17</v>
      </c>
      <c r="F894" s="54">
        <v>27553</v>
      </c>
      <c r="G894" s="54" cm="1">
        <f t="array" ref="G894">E894*F894</f>
        <v>468401</v>
      </c>
      <c r="H894" s="53" cm="1">
        <f t="array" ref="H894">YEAR(A894)</f>
        <v>2026</v>
      </c>
      <c r="I894" t="str" s="55" cm="1">
        <f t="array" ref="I894">"Q"&amp;ROUNDUP(MONTH(A894)/3,0)</f>
        <v>Q2</v>
      </c>
      <c r="J894" t="s" s="52">
        <v>68</v>
      </c>
    </row>
    <row r="895" ht="13.55" customHeight="1">
      <c r="A895" s="56">
        <v>46177</v>
      </c>
      <c r="B895" t="s" s="57">
        <v>20</v>
      </c>
      <c r="C895" t="s" s="57">
        <v>78</v>
      </c>
      <c r="D895" t="s" s="57">
        <v>16</v>
      </c>
      <c r="E895" s="58">
        <v>6</v>
      </c>
      <c r="F895" s="59">
        <v>22387</v>
      </c>
      <c r="G895" s="59" cm="1">
        <f t="array" ref="G895">E895*F895</f>
        <v>134322</v>
      </c>
      <c r="H895" s="58" cm="1">
        <f t="array" ref="H895">YEAR(A895)</f>
        <v>2026</v>
      </c>
      <c r="I895" t="str" s="60" cm="1">
        <f t="array" ref="I895">"Q"&amp;ROUNDUP(MONTH(A895)/3,0)</f>
        <v>Q2</v>
      </c>
      <c r="J895" t="s" s="57">
        <v>68</v>
      </c>
    </row>
    <row r="896" ht="13.55" customHeight="1">
      <c r="A896" s="51">
        <v>46182</v>
      </c>
      <c r="B896" t="s" s="52">
        <v>23</v>
      </c>
      <c r="C896" t="s" s="52">
        <v>82</v>
      </c>
      <c r="D896" t="s" s="52">
        <v>15</v>
      </c>
      <c r="E896" s="53">
        <v>7</v>
      </c>
      <c r="F896" s="54">
        <v>24738</v>
      </c>
      <c r="G896" s="54" cm="1">
        <f t="array" ref="G896">E896*F896</f>
        <v>173166</v>
      </c>
      <c r="H896" s="53" cm="1">
        <f t="array" ref="H896">YEAR(A896)</f>
        <v>2026</v>
      </c>
      <c r="I896" t="str" s="55" cm="1">
        <f t="array" ref="I896">"Q"&amp;ROUNDUP(MONTH(A896)/3,0)</f>
        <v>Q2</v>
      </c>
      <c r="J896" t="s" s="52">
        <v>68</v>
      </c>
    </row>
    <row r="897" ht="13.55" customHeight="1">
      <c r="A897" s="56">
        <v>46183</v>
      </c>
      <c r="B897" t="s" s="57">
        <v>22</v>
      </c>
      <c r="C897" t="s" s="57">
        <v>84</v>
      </c>
      <c r="D897" t="s" s="57">
        <v>16</v>
      </c>
      <c r="E897" s="58">
        <v>15</v>
      </c>
      <c r="F897" s="59">
        <v>53516</v>
      </c>
      <c r="G897" s="59" cm="1">
        <f t="array" ref="G897">E897*F897</f>
        <v>802740</v>
      </c>
      <c r="H897" s="58" cm="1">
        <f t="array" ref="H897">YEAR(A897)</f>
        <v>2026</v>
      </c>
      <c r="I897" t="str" s="60" cm="1">
        <f t="array" ref="I897">"Q"&amp;ROUNDUP(MONTH(A897)/3,0)</f>
        <v>Q2</v>
      </c>
      <c r="J897" t="s" s="57">
        <v>68</v>
      </c>
    </row>
    <row r="898" ht="13.55" customHeight="1">
      <c r="A898" s="51">
        <v>46183</v>
      </c>
      <c r="B898" t="s" s="52">
        <v>21</v>
      </c>
      <c r="C898" t="s" s="52">
        <v>80</v>
      </c>
      <c r="D898" t="s" s="52">
        <v>15</v>
      </c>
      <c r="E898" s="53">
        <v>8</v>
      </c>
      <c r="F898" s="54">
        <v>10741</v>
      </c>
      <c r="G898" s="54" cm="1">
        <f t="array" ref="G898">E898*F898</f>
        <v>85928</v>
      </c>
      <c r="H898" s="53" cm="1">
        <f t="array" ref="H898">YEAR(A898)</f>
        <v>2026</v>
      </c>
      <c r="I898" t="str" s="55" cm="1">
        <f t="array" ref="I898">"Q"&amp;ROUNDUP(MONTH(A898)/3,0)</f>
        <v>Q2</v>
      </c>
      <c r="J898" t="s" s="52">
        <v>68</v>
      </c>
    </row>
    <row r="899" ht="13.55" customHeight="1">
      <c r="A899" s="56">
        <v>46186</v>
      </c>
      <c r="B899" t="s" s="57">
        <v>23</v>
      </c>
      <c r="C899" t="s" s="57">
        <v>84</v>
      </c>
      <c r="D899" t="s" s="57">
        <v>15</v>
      </c>
      <c r="E899" s="58">
        <v>13</v>
      </c>
      <c r="F899" s="59">
        <v>34432</v>
      </c>
      <c r="G899" s="59" cm="1">
        <f t="array" ref="G899">E899*F899</f>
        <v>447616</v>
      </c>
      <c r="H899" s="58" cm="1">
        <f t="array" ref="H899">YEAR(A899)</f>
        <v>2026</v>
      </c>
      <c r="I899" t="str" s="60" cm="1">
        <f t="array" ref="I899">"Q"&amp;ROUNDUP(MONTH(A899)/3,0)</f>
        <v>Q2</v>
      </c>
      <c r="J899" t="s" s="57">
        <v>68</v>
      </c>
    </row>
    <row r="900" ht="13.55" customHeight="1">
      <c r="A900" s="51">
        <v>46187</v>
      </c>
      <c r="B900" t="s" s="52">
        <v>23</v>
      </c>
      <c r="C900" t="s" s="52">
        <v>83</v>
      </c>
      <c r="D900" t="s" s="52">
        <v>18</v>
      </c>
      <c r="E900" s="53">
        <v>17</v>
      </c>
      <c r="F900" s="54">
        <v>48395</v>
      </c>
      <c r="G900" s="54" cm="1">
        <f t="array" ref="G900">E900*F900</f>
        <v>822715</v>
      </c>
      <c r="H900" s="53" cm="1">
        <f t="array" ref="H900">YEAR(A900)</f>
        <v>2026</v>
      </c>
      <c r="I900" t="str" s="55" cm="1">
        <f t="array" ref="I900">"Q"&amp;ROUNDUP(MONTH(A900)/3,0)</f>
        <v>Q2</v>
      </c>
      <c r="J900" t="s" s="52">
        <v>68</v>
      </c>
    </row>
    <row r="901" ht="13.55" customHeight="1">
      <c r="A901" s="56">
        <v>46187</v>
      </c>
      <c r="B901" t="s" s="57">
        <v>20</v>
      </c>
      <c r="C901" t="s" s="57">
        <v>82</v>
      </c>
      <c r="D901" t="s" s="57">
        <v>18</v>
      </c>
      <c r="E901" s="58">
        <v>16</v>
      </c>
      <c r="F901" s="59">
        <v>38457</v>
      </c>
      <c r="G901" s="59" cm="1">
        <f t="array" ref="G901">E901*F901</f>
        <v>615312</v>
      </c>
      <c r="H901" s="58" cm="1">
        <f t="array" ref="H901">YEAR(A901)</f>
        <v>2026</v>
      </c>
      <c r="I901" t="str" s="60" cm="1">
        <f t="array" ref="I901">"Q"&amp;ROUNDUP(MONTH(A901)/3,0)</f>
        <v>Q2</v>
      </c>
      <c r="J901" t="s" s="57">
        <v>68</v>
      </c>
    </row>
    <row r="902" ht="13.55" customHeight="1">
      <c r="A902" s="51">
        <v>46187</v>
      </c>
      <c r="B902" t="s" s="52">
        <v>20</v>
      </c>
      <c r="C902" t="s" s="52">
        <v>80</v>
      </c>
      <c r="D902" t="s" s="52">
        <v>17</v>
      </c>
      <c r="E902" s="53">
        <v>10</v>
      </c>
      <c r="F902" s="54">
        <v>7985</v>
      </c>
      <c r="G902" s="54" cm="1">
        <f t="array" ref="G902">E902*F902</f>
        <v>79850</v>
      </c>
      <c r="H902" s="53" cm="1">
        <f t="array" ref="H902">YEAR(A902)</f>
        <v>2026</v>
      </c>
      <c r="I902" t="str" s="55" cm="1">
        <f t="array" ref="I902">"Q"&amp;ROUNDUP(MONTH(A902)/3,0)</f>
        <v>Q2</v>
      </c>
      <c r="J902" t="s" s="52">
        <v>68</v>
      </c>
    </row>
    <row r="903" ht="13.55" customHeight="1">
      <c r="A903" s="56">
        <v>46188</v>
      </c>
      <c r="B903" t="s" s="57">
        <v>22</v>
      </c>
      <c r="C903" t="s" s="57">
        <v>82</v>
      </c>
      <c r="D903" t="s" s="57">
        <v>16</v>
      </c>
      <c r="E903" s="58">
        <v>7</v>
      </c>
      <c r="F903" s="59">
        <v>56727</v>
      </c>
      <c r="G903" s="59" cm="1">
        <f t="array" ref="G903">E903*F903</f>
        <v>397089</v>
      </c>
      <c r="H903" s="58" cm="1">
        <f t="array" ref="H903">YEAR(A903)</f>
        <v>2026</v>
      </c>
      <c r="I903" t="str" s="60" cm="1">
        <f t="array" ref="I903">"Q"&amp;ROUNDUP(MONTH(A903)/3,0)</f>
        <v>Q2</v>
      </c>
      <c r="J903" t="s" s="57">
        <v>68</v>
      </c>
    </row>
    <row r="904" ht="13.55" customHeight="1">
      <c r="A904" s="51">
        <v>46188</v>
      </c>
      <c r="B904" t="s" s="52">
        <v>21</v>
      </c>
      <c r="C904" t="s" s="52">
        <v>83</v>
      </c>
      <c r="D904" t="s" s="52">
        <v>16</v>
      </c>
      <c r="E904" s="53">
        <v>14</v>
      </c>
      <c r="F904" s="54">
        <v>36379</v>
      </c>
      <c r="G904" s="54" cm="1">
        <f t="array" ref="G904">E904*F904</f>
        <v>509306</v>
      </c>
      <c r="H904" s="53" cm="1">
        <f t="array" ref="H904">YEAR(A904)</f>
        <v>2026</v>
      </c>
      <c r="I904" t="str" s="55" cm="1">
        <f t="array" ref="I904">"Q"&amp;ROUNDUP(MONTH(A904)/3,0)</f>
        <v>Q2</v>
      </c>
      <c r="J904" t="s" s="52">
        <v>68</v>
      </c>
    </row>
    <row r="905" ht="13.55" customHeight="1">
      <c r="A905" s="56">
        <v>46189</v>
      </c>
      <c r="B905" t="s" s="57">
        <v>21</v>
      </c>
      <c r="C905" t="s" s="57">
        <v>82</v>
      </c>
      <c r="D905" t="s" s="57">
        <v>15</v>
      </c>
      <c r="E905" s="58">
        <v>14</v>
      </c>
      <c r="F905" s="59">
        <v>46243</v>
      </c>
      <c r="G905" s="59" cm="1">
        <f t="array" ref="G905">E905*F905</f>
        <v>647402</v>
      </c>
      <c r="H905" s="58" cm="1">
        <f t="array" ref="H905">YEAR(A905)</f>
        <v>2026</v>
      </c>
      <c r="I905" t="str" s="60" cm="1">
        <f t="array" ref="I905">"Q"&amp;ROUNDUP(MONTH(A905)/3,0)</f>
        <v>Q2</v>
      </c>
      <c r="J905" t="s" s="57">
        <v>68</v>
      </c>
    </row>
    <row r="906" ht="13.55" customHeight="1">
      <c r="A906" s="51">
        <v>46189</v>
      </c>
      <c r="B906" t="s" s="52">
        <v>20</v>
      </c>
      <c r="C906" t="s" s="52">
        <v>84</v>
      </c>
      <c r="D906" t="s" s="52">
        <v>18</v>
      </c>
      <c r="E906" s="53">
        <v>15</v>
      </c>
      <c r="F906" s="54">
        <v>69093</v>
      </c>
      <c r="G906" s="54" cm="1">
        <f t="array" ref="G906">E906*F906</f>
        <v>1036395</v>
      </c>
      <c r="H906" s="53" cm="1">
        <f t="array" ref="H906">YEAR(A906)</f>
        <v>2026</v>
      </c>
      <c r="I906" t="str" s="55" cm="1">
        <f t="array" ref="I906">"Q"&amp;ROUNDUP(MONTH(A906)/3,0)</f>
        <v>Q2</v>
      </c>
      <c r="J906" t="s" s="52">
        <v>68</v>
      </c>
    </row>
    <row r="907" ht="13.55" customHeight="1">
      <c r="A907" s="56">
        <v>46191</v>
      </c>
      <c r="B907" t="s" s="57">
        <v>21</v>
      </c>
      <c r="C907" t="s" s="57">
        <v>84</v>
      </c>
      <c r="D907" t="s" s="57">
        <v>17</v>
      </c>
      <c r="E907" s="58">
        <v>19</v>
      </c>
      <c r="F907" s="59">
        <v>64500</v>
      </c>
      <c r="G907" s="59" cm="1">
        <f t="array" ref="G907">E907*F907</f>
        <v>1225500</v>
      </c>
      <c r="H907" s="58" cm="1">
        <f t="array" ref="H907">YEAR(A907)</f>
        <v>2026</v>
      </c>
      <c r="I907" t="str" s="60" cm="1">
        <f t="array" ref="I907">"Q"&amp;ROUNDUP(MONTH(A907)/3,0)</f>
        <v>Q2</v>
      </c>
      <c r="J907" t="s" s="57">
        <v>68</v>
      </c>
    </row>
    <row r="908" ht="13.55" customHeight="1">
      <c r="A908" s="51">
        <v>46194</v>
      </c>
      <c r="B908" t="s" s="52">
        <v>22</v>
      </c>
      <c r="C908" t="s" s="52">
        <v>83</v>
      </c>
      <c r="D908" t="s" s="52">
        <v>15</v>
      </c>
      <c r="E908" s="53">
        <v>12</v>
      </c>
      <c r="F908" s="54">
        <v>18409</v>
      </c>
      <c r="G908" s="54" cm="1">
        <f t="array" ref="G908">E908*F908</f>
        <v>220908</v>
      </c>
      <c r="H908" s="53" cm="1">
        <f t="array" ref="H908">YEAR(A908)</f>
        <v>2026</v>
      </c>
      <c r="I908" t="str" s="55" cm="1">
        <f t="array" ref="I908">"Q"&amp;ROUNDUP(MONTH(A908)/3,0)</f>
        <v>Q2</v>
      </c>
      <c r="J908" t="s" s="52">
        <v>68</v>
      </c>
    </row>
    <row r="909" ht="13.55" customHeight="1">
      <c r="A909" s="56">
        <v>46194</v>
      </c>
      <c r="B909" t="s" s="57">
        <v>23</v>
      </c>
      <c r="C909" t="s" s="57">
        <v>83</v>
      </c>
      <c r="D909" t="s" s="57">
        <v>16</v>
      </c>
      <c r="E909" s="58">
        <v>9</v>
      </c>
      <c r="F909" s="59">
        <v>44350</v>
      </c>
      <c r="G909" s="59" cm="1">
        <f t="array" ref="G909">E909*F909</f>
        <v>399150</v>
      </c>
      <c r="H909" s="58" cm="1">
        <f t="array" ref="H909">YEAR(A909)</f>
        <v>2026</v>
      </c>
      <c r="I909" t="str" s="60" cm="1">
        <f t="array" ref="I909">"Q"&amp;ROUNDUP(MONTH(A909)/3,0)</f>
        <v>Q2</v>
      </c>
      <c r="J909" t="s" s="57">
        <v>68</v>
      </c>
    </row>
    <row r="910" ht="13.55" customHeight="1">
      <c r="A910" s="51">
        <v>46197</v>
      </c>
      <c r="B910" t="s" s="52">
        <v>22</v>
      </c>
      <c r="C910" t="s" s="52">
        <v>80</v>
      </c>
      <c r="D910" t="s" s="52">
        <v>15</v>
      </c>
      <c r="E910" s="53">
        <v>13</v>
      </c>
      <c r="F910" s="54">
        <v>77779</v>
      </c>
      <c r="G910" s="54" cm="1">
        <f t="array" ref="G910">E910*F910</f>
        <v>1011127</v>
      </c>
      <c r="H910" s="53" cm="1">
        <f t="array" ref="H910">YEAR(A910)</f>
        <v>2026</v>
      </c>
      <c r="I910" t="str" s="55" cm="1">
        <f t="array" ref="I910">"Q"&amp;ROUNDUP(MONTH(A910)/3,0)</f>
        <v>Q2</v>
      </c>
      <c r="J910" t="s" s="52">
        <v>68</v>
      </c>
    </row>
    <row r="911" ht="13.55" customHeight="1">
      <c r="A911" s="56">
        <v>46198</v>
      </c>
      <c r="B911" t="s" s="57">
        <v>22</v>
      </c>
      <c r="C911" t="s" s="57">
        <v>80</v>
      </c>
      <c r="D911" t="s" s="57">
        <v>17</v>
      </c>
      <c r="E911" s="58">
        <v>13</v>
      </c>
      <c r="F911" s="59">
        <v>50276</v>
      </c>
      <c r="G911" s="59" cm="1">
        <f t="array" ref="G911">E911*F911</f>
        <v>653588</v>
      </c>
      <c r="H911" s="58" cm="1">
        <f t="array" ref="H911">YEAR(A911)</f>
        <v>2026</v>
      </c>
      <c r="I911" t="str" s="60" cm="1">
        <f t="array" ref="I911">"Q"&amp;ROUNDUP(MONTH(A911)/3,0)</f>
        <v>Q2</v>
      </c>
      <c r="J911" t="s" s="57">
        <v>68</v>
      </c>
    </row>
    <row r="912" ht="13.55" customHeight="1">
      <c r="A912" s="51">
        <v>46199</v>
      </c>
      <c r="B912" t="s" s="52">
        <v>20</v>
      </c>
      <c r="C912" t="s" s="52">
        <v>81</v>
      </c>
      <c r="D912" t="s" s="52">
        <v>15</v>
      </c>
      <c r="E912" s="53">
        <v>11</v>
      </c>
      <c r="F912" s="54">
        <v>30566</v>
      </c>
      <c r="G912" s="54" cm="1">
        <f t="array" ref="G912">E912*F912</f>
        <v>336226</v>
      </c>
      <c r="H912" s="53" cm="1">
        <f t="array" ref="H912">YEAR(A912)</f>
        <v>2026</v>
      </c>
      <c r="I912" t="str" s="55" cm="1">
        <f t="array" ref="I912">"Q"&amp;ROUNDUP(MONTH(A912)/3,0)</f>
        <v>Q2</v>
      </c>
      <c r="J912" t="s" s="52">
        <v>68</v>
      </c>
    </row>
    <row r="913" ht="13.55" customHeight="1">
      <c r="A913" s="56">
        <v>46199</v>
      </c>
      <c r="B913" t="s" s="57">
        <v>21</v>
      </c>
      <c r="C913" t="s" s="57">
        <v>80</v>
      </c>
      <c r="D913" t="s" s="57">
        <v>18</v>
      </c>
      <c r="E913" s="58">
        <v>8</v>
      </c>
      <c r="F913" s="59">
        <v>47933</v>
      </c>
      <c r="G913" s="59" cm="1">
        <f t="array" ref="G913">E913*F913</f>
        <v>383464</v>
      </c>
      <c r="H913" s="58" cm="1">
        <f t="array" ref="H913">YEAR(A913)</f>
        <v>2026</v>
      </c>
      <c r="I913" t="str" s="60" cm="1">
        <f t="array" ref="I913">"Q"&amp;ROUNDUP(MONTH(A913)/3,0)</f>
        <v>Q2</v>
      </c>
      <c r="J913" t="s" s="57">
        <v>68</v>
      </c>
    </row>
    <row r="914" ht="13.55" customHeight="1">
      <c r="A914" s="51">
        <v>46200</v>
      </c>
      <c r="B914" t="s" s="52">
        <v>20</v>
      </c>
      <c r="C914" t="s" s="52">
        <v>83</v>
      </c>
      <c r="D914" t="s" s="52">
        <v>16</v>
      </c>
      <c r="E914" s="53">
        <v>11</v>
      </c>
      <c r="F914" s="54">
        <v>38769</v>
      </c>
      <c r="G914" s="54" cm="1">
        <f t="array" ref="G914">E914*F914</f>
        <v>426459</v>
      </c>
      <c r="H914" s="53" cm="1">
        <f t="array" ref="H914">YEAR(A914)</f>
        <v>2026</v>
      </c>
      <c r="I914" t="str" s="55" cm="1">
        <f t="array" ref="I914">"Q"&amp;ROUNDUP(MONTH(A914)/3,0)</f>
        <v>Q2</v>
      </c>
      <c r="J914" t="s" s="52">
        <v>68</v>
      </c>
    </row>
    <row r="915" ht="13.55" customHeight="1">
      <c r="A915" s="56">
        <v>46203</v>
      </c>
      <c r="B915" t="s" s="57">
        <v>22</v>
      </c>
      <c r="C915" t="s" s="57">
        <v>81</v>
      </c>
      <c r="D915" t="s" s="57">
        <v>16</v>
      </c>
      <c r="E915" s="58">
        <v>16</v>
      </c>
      <c r="F915" s="59">
        <v>6630</v>
      </c>
      <c r="G915" s="59" cm="1">
        <f t="array" ref="G915">E915*F915</f>
        <v>106080</v>
      </c>
      <c r="H915" s="58" cm="1">
        <f t="array" ref="H915">YEAR(A915)</f>
        <v>2026</v>
      </c>
      <c r="I915" t="str" s="60" cm="1">
        <f t="array" ref="I915">"Q"&amp;ROUNDUP(MONTH(A915)/3,0)</f>
        <v>Q2</v>
      </c>
      <c r="J915" t="s" s="57">
        <v>68</v>
      </c>
    </row>
    <row r="916" ht="13.55" customHeight="1">
      <c r="A916" s="51">
        <v>46204</v>
      </c>
      <c r="B916" t="s" s="52">
        <v>21</v>
      </c>
      <c r="C916" t="s" s="52">
        <v>83</v>
      </c>
      <c r="D916" t="s" s="52">
        <v>18</v>
      </c>
      <c r="E916" s="53">
        <v>13</v>
      </c>
      <c r="F916" s="54">
        <v>59195</v>
      </c>
      <c r="G916" s="54" cm="1">
        <f t="array" ref="G916">E916*F916</f>
        <v>769535</v>
      </c>
      <c r="H916" s="53" cm="1">
        <f t="array" ref="H916">YEAR(A916)</f>
        <v>2026</v>
      </c>
      <c r="I916" t="str" s="55" cm="1">
        <f t="array" ref="I916">"Q"&amp;ROUNDUP(MONTH(A916)/3,0)</f>
        <v>Q3</v>
      </c>
      <c r="J916" t="s" s="52">
        <v>69</v>
      </c>
    </row>
    <row r="917" ht="13.55" customHeight="1">
      <c r="A917" s="56">
        <v>46205</v>
      </c>
      <c r="B917" t="s" s="57">
        <v>21</v>
      </c>
      <c r="C917" t="s" s="57">
        <v>81</v>
      </c>
      <c r="D917" t="s" s="57">
        <v>18</v>
      </c>
      <c r="E917" s="58">
        <v>13</v>
      </c>
      <c r="F917" s="59">
        <v>57198</v>
      </c>
      <c r="G917" s="59" cm="1">
        <f t="array" ref="G917">E917*F917</f>
        <v>743574</v>
      </c>
      <c r="H917" s="58" cm="1">
        <f t="array" ref="H917">YEAR(A917)</f>
        <v>2026</v>
      </c>
      <c r="I917" t="str" s="60" cm="1">
        <f t="array" ref="I917">"Q"&amp;ROUNDUP(MONTH(A917)/3,0)</f>
        <v>Q3</v>
      </c>
      <c r="J917" t="s" s="57">
        <v>69</v>
      </c>
    </row>
    <row r="918" ht="13.55" customHeight="1">
      <c r="A918" s="51">
        <v>46206</v>
      </c>
      <c r="B918" t="s" s="52">
        <v>21</v>
      </c>
      <c r="C918" t="s" s="52">
        <v>83</v>
      </c>
      <c r="D918" t="s" s="52">
        <v>18</v>
      </c>
      <c r="E918" s="53">
        <v>8</v>
      </c>
      <c r="F918" s="54">
        <v>60755</v>
      </c>
      <c r="G918" s="54" cm="1">
        <f t="array" ref="G918">E918*F918</f>
        <v>486040</v>
      </c>
      <c r="H918" s="53" cm="1">
        <f t="array" ref="H918">YEAR(A918)</f>
        <v>2026</v>
      </c>
      <c r="I918" t="str" s="55" cm="1">
        <f t="array" ref="I918">"Q"&amp;ROUNDUP(MONTH(A918)/3,0)</f>
        <v>Q3</v>
      </c>
      <c r="J918" t="s" s="52">
        <v>69</v>
      </c>
    </row>
    <row r="919" ht="13.55" customHeight="1">
      <c r="A919" s="56">
        <v>46207</v>
      </c>
      <c r="B919" t="s" s="57">
        <v>23</v>
      </c>
      <c r="C919" t="s" s="57">
        <v>82</v>
      </c>
      <c r="D919" t="s" s="57">
        <v>17</v>
      </c>
      <c r="E919" s="58">
        <v>10</v>
      </c>
      <c r="F919" s="59">
        <v>24259</v>
      </c>
      <c r="G919" s="59" cm="1">
        <f t="array" ref="G919">E919*F919</f>
        <v>242590</v>
      </c>
      <c r="H919" s="58" cm="1">
        <f t="array" ref="H919">YEAR(A919)</f>
        <v>2026</v>
      </c>
      <c r="I919" t="str" s="60" cm="1">
        <f t="array" ref="I919">"Q"&amp;ROUNDUP(MONTH(A919)/3,0)</f>
        <v>Q3</v>
      </c>
      <c r="J919" t="s" s="57">
        <v>69</v>
      </c>
    </row>
    <row r="920" ht="13.55" customHeight="1">
      <c r="A920" s="51">
        <v>46211</v>
      </c>
      <c r="B920" t="s" s="52">
        <v>21</v>
      </c>
      <c r="C920" t="s" s="52">
        <v>78</v>
      </c>
      <c r="D920" t="s" s="52">
        <v>18</v>
      </c>
      <c r="E920" s="53">
        <v>5</v>
      </c>
      <c r="F920" s="54">
        <v>62767</v>
      </c>
      <c r="G920" s="54" cm="1">
        <f t="array" ref="G920">E920*F920</f>
        <v>313835</v>
      </c>
      <c r="H920" s="53" cm="1">
        <f t="array" ref="H920">YEAR(A920)</f>
        <v>2026</v>
      </c>
      <c r="I920" t="str" s="55" cm="1">
        <f t="array" ref="I920">"Q"&amp;ROUNDUP(MONTH(A920)/3,0)</f>
        <v>Q3</v>
      </c>
      <c r="J920" t="s" s="52">
        <v>69</v>
      </c>
    </row>
    <row r="921" ht="13.55" customHeight="1">
      <c r="A921" s="56">
        <v>46211</v>
      </c>
      <c r="B921" t="s" s="57">
        <v>23</v>
      </c>
      <c r="C921" t="s" s="57">
        <v>81</v>
      </c>
      <c r="D921" t="s" s="57">
        <v>15</v>
      </c>
      <c r="E921" s="58">
        <v>11</v>
      </c>
      <c r="F921" s="59">
        <v>9886</v>
      </c>
      <c r="G921" s="59" cm="1">
        <f t="array" ref="G921">E921*F921</f>
        <v>108746</v>
      </c>
      <c r="H921" s="58" cm="1">
        <f t="array" ref="H921">YEAR(A921)</f>
        <v>2026</v>
      </c>
      <c r="I921" t="str" s="60" cm="1">
        <f t="array" ref="I921">"Q"&amp;ROUNDUP(MONTH(A921)/3,0)</f>
        <v>Q3</v>
      </c>
      <c r="J921" t="s" s="57">
        <v>69</v>
      </c>
    </row>
    <row r="922" ht="13.55" customHeight="1">
      <c r="A922" s="51">
        <v>46212</v>
      </c>
      <c r="B922" t="s" s="52">
        <v>22</v>
      </c>
      <c r="C922" t="s" s="52">
        <v>80</v>
      </c>
      <c r="D922" t="s" s="52">
        <v>15</v>
      </c>
      <c r="E922" s="53">
        <v>12</v>
      </c>
      <c r="F922" s="54">
        <v>19995</v>
      </c>
      <c r="G922" s="54" cm="1">
        <f t="array" ref="G922">E922*F922</f>
        <v>239940</v>
      </c>
      <c r="H922" s="53" cm="1">
        <f t="array" ref="H922">YEAR(A922)</f>
        <v>2026</v>
      </c>
      <c r="I922" t="str" s="55" cm="1">
        <f t="array" ref="I922">"Q"&amp;ROUNDUP(MONTH(A922)/3,0)</f>
        <v>Q3</v>
      </c>
      <c r="J922" t="s" s="52">
        <v>69</v>
      </c>
    </row>
    <row r="923" ht="13.55" customHeight="1">
      <c r="A923" s="56">
        <v>46212</v>
      </c>
      <c r="B923" t="s" s="57">
        <v>22</v>
      </c>
      <c r="C923" t="s" s="57">
        <v>78</v>
      </c>
      <c r="D923" t="s" s="57">
        <v>18</v>
      </c>
      <c r="E923" s="58">
        <v>3</v>
      </c>
      <c r="F923" s="59">
        <v>24094</v>
      </c>
      <c r="G923" s="59" cm="1">
        <f t="array" ref="G923">E923*F923</f>
        <v>72282</v>
      </c>
      <c r="H923" s="58" cm="1">
        <f t="array" ref="H923">YEAR(A923)</f>
        <v>2026</v>
      </c>
      <c r="I923" t="str" s="60" cm="1">
        <f t="array" ref="I923">"Q"&amp;ROUNDUP(MONTH(A923)/3,0)</f>
        <v>Q3</v>
      </c>
      <c r="J923" t="s" s="57">
        <v>69</v>
      </c>
    </row>
    <row r="924" ht="13.55" customHeight="1">
      <c r="A924" s="51">
        <v>46213</v>
      </c>
      <c r="B924" t="s" s="52">
        <v>20</v>
      </c>
      <c r="C924" t="s" s="52">
        <v>83</v>
      </c>
      <c r="D924" t="s" s="52">
        <v>16</v>
      </c>
      <c r="E924" s="53">
        <v>3</v>
      </c>
      <c r="F924" s="54">
        <v>40464</v>
      </c>
      <c r="G924" s="54" cm="1">
        <f t="array" ref="G924">E924*F924</f>
        <v>121392</v>
      </c>
      <c r="H924" s="53" cm="1">
        <f t="array" ref="H924">YEAR(A924)</f>
        <v>2026</v>
      </c>
      <c r="I924" t="str" s="55" cm="1">
        <f t="array" ref="I924">"Q"&amp;ROUNDUP(MONTH(A924)/3,0)</f>
        <v>Q3</v>
      </c>
      <c r="J924" t="s" s="52">
        <v>69</v>
      </c>
    </row>
    <row r="925" ht="13.55" customHeight="1">
      <c r="A925" s="56">
        <v>46213</v>
      </c>
      <c r="B925" t="s" s="57">
        <v>20</v>
      </c>
      <c r="C925" t="s" s="57">
        <v>81</v>
      </c>
      <c r="D925" t="s" s="57">
        <v>17</v>
      </c>
      <c r="E925" s="58">
        <v>8</v>
      </c>
      <c r="F925" s="59">
        <v>10283</v>
      </c>
      <c r="G925" s="59" cm="1">
        <f t="array" ref="G925">E925*F925</f>
        <v>82264</v>
      </c>
      <c r="H925" s="58" cm="1">
        <f t="array" ref="H925">YEAR(A925)</f>
        <v>2026</v>
      </c>
      <c r="I925" t="str" s="60" cm="1">
        <f t="array" ref="I925">"Q"&amp;ROUNDUP(MONTH(A925)/3,0)</f>
        <v>Q3</v>
      </c>
      <c r="J925" t="s" s="57">
        <v>69</v>
      </c>
    </row>
    <row r="926" ht="13.55" customHeight="1">
      <c r="A926" s="51">
        <v>46214</v>
      </c>
      <c r="B926" t="s" s="52">
        <v>22</v>
      </c>
      <c r="C926" t="s" s="52">
        <v>81</v>
      </c>
      <c r="D926" t="s" s="52">
        <v>18</v>
      </c>
      <c r="E926" s="53">
        <v>1</v>
      </c>
      <c r="F926" s="54">
        <v>74390</v>
      </c>
      <c r="G926" s="54" cm="1">
        <f t="array" ref="G926">E926*F926</f>
        <v>74390</v>
      </c>
      <c r="H926" s="53" cm="1">
        <f t="array" ref="H926">YEAR(A926)</f>
        <v>2026</v>
      </c>
      <c r="I926" t="str" s="55" cm="1">
        <f t="array" ref="I926">"Q"&amp;ROUNDUP(MONTH(A926)/3,0)</f>
        <v>Q3</v>
      </c>
      <c r="J926" t="s" s="52">
        <v>69</v>
      </c>
    </row>
    <row r="927" ht="13.55" customHeight="1">
      <c r="A927" s="56">
        <v>46216</v>
      </c>
      <c r="B927" t="s" s="57">
        <v>22</v>
      </c>
      <c r="C927" t="s" s="57">
        <v>82</v>
      </c>
      <c r="D927" t="s" s="57">
        <v>18</v>
      </c>
      <c r="E927" s="58">
        <v>16</v>
      </c>
      <c r="F927" s="59">
        <v>41966</v>
      </c>
      <c r="G927" s="59" cm="1">
        <f t="array" ref="G927">E927*F927</f>
        <v>671456</v>
      </c>
      <c r="H927" s="58" cm="1">
        <f t="array" ref="H927">YEAR(A927)</f>
        <v>2026</v>
      </c>
      <c r="I927" t="str" s="60" cm="1">
        <f t="array" ref="I927">"Q"&amp;ROUNDUP(MONTH(A927)/3,0)</f>
        <v>Q3</v>
      </c>
      <c r="J927" t="s" s="57">
        <v>69</v>
      </c>
    </row>
    <row r="928" ht="13.55" customHeight="1">
      <c r="A928" s="51">
        <v>46219</v>
      </c>
      <c r="B928" t="s" s="52">
        <v>22</v>
      </c>
      <c r="C928" t="s" s="52">
        <v>84</v>
      </c>
      <c r="D928" t="s" s="52">
        <v>17</v>
      </c>
      <c r="E928" s="53">
        <v>7</v>
      </c>
      <c r="F928" s="54">
        <v>24610</v>
      </c>
      <c r="G928" s="54" cm="1">
        <f t="array" ref="G928">E928*F928</f>
        <v>172270</v>
      </c>
      <c r="H928" s="53" cm="1">
        <f t="array" ref="H928">YEAR(A928)</f>
        <v>2026</v>
      </c>
      <c r="I928" t="str" s="55" cm="1">
        <f t="array" ref="I928">"Q"&amp;ROUNDUP(MONTH(A928)/3,0)</f>
        <v>Q3</v>
      </c>
      <c r="J928" t="s" s="52">
        <v>69</v>
      </c>
    </row>
    <row r="929" ht="13.55" customHeight="1">
      <c r="A929" s="56">
        <v>46220</v>
      </c>
      <c r="B929" t="s" s="57">
        <v>23</v>
      </c>
      <c r="C929" t="s" s="57">
        <v>83</v>
      </c>
      <c r="D929" t="s" s="57">
        <v>15</v>
      </c>
      <c r="E929" s="58">
        <v>12</v>
      </c>
      <c r="F929" s="59">
        <v>61541</v>
      </c>
      <c r="G929" s="59" cm="1">
        <f t="array" ref="G929">E929*F929</f>
        <v>738492</v>
      </c>
      <c r="H929" s="58" cm="1">
        <f t="array" ref="H929">YEAR(A929)</f>
        <v>2026</v>
      </c>
      <c r="I929" t="str" s="60" cm="1">
        <f t="array" ref="I929">"Q"&amp;ROUNDUP(MONTH(A929)/3,0)</f>
        <v>Q3</v>
      </c>
      <c r="J929" t="s" s="57">
        <v>69</v>
      </c>
    </row>
    <row r="930" ht="13.55" customHeight="1">
      <c r="A930" s="51">
        <v>46220</v>
      </c>
      <c r="B930" t="s" s="52">
        <v>22</v>
      </c>
      <c r="C930" t="s" s="52">
        <v>81</v>
      </c>
      <c r="D930" t="s" s="52">
        <v>18</v>
      </c>
      <c r="E930" s="53">
        <v>13</v>
      </c>
      <c r="F930" s="54">
        <v>21633</v>
      </c>
      <c r="G930" s="54" cm="1">
        <f t="array" ref="G930">E930*F930</f>
        <v>281229</v>
      </c>
      <c r="H930" s="53" cm="1">
        <f t="array" ref="H930">YEAR(A930)</f>
        <v>2026</v>
      </c>
      <c r="I930" t="str" s="55" cm="1">
        <f t="array" ref="I930">"Q"&amp;ROUNDUP(MONTH(A930)/3,0)</f>
        <v>Q3</v>
      </c>
      <c r="J930" t="s" s="52">
        <v>69</v>
      </c>
    </row>
    <row r="931" ht="13.55" customHeight="1">
      <c r="A931" s="56">
        <v>46220</v>
      </c>
      <c r="B931" t="s" s="57">
        <v>21</v>
      </c>
      <c r="C931" t="s" s="57">
        <v>84</v>
      </c>
      <c r="D931" t="s" s="57">
        <v>16</v>
      </c>
      <c r="E931" s="58">
        <v>11</v>
      </c>
      <c r="F931" s="59">
        <v>73665</v>
      </c>
      <c r="G931" s="59" cm="1">
        <f t="array" ref="G931">E931*F931</f>
        <v>810315</v>
      </c>
      <c r="H931" s="58" cm="1">
        <f t="array" ref="H931">YEAR(A931)</f>
        <v>2026</v>
      </c>
      <c r="I931" t="str" s="60" cm="1">
        <f t="array" ref="I931">"Q"&amp;ROUNDUP(MONTH(A931)/3,0)</f>
        <v>Q3</v>
      </c>
      <c r="J931" t="s" s="57">
        <v>69</v>
      </c>
    </row>
    <row r="932" ht="13.55" customHeight="1">
      <c r="A932" s="51">
        <v>46220</v>
      </c>
      <c r="B932" t="s" s="52">
        <v>22</v>
      </c>
      <c r="C932" t="s" s="52">
        <v>83</v>
      </c>
      <c r="D932" t="s" s="52">
        <v>17</v>
      </c>
      <c r="E932" s="53">
        <v>10</v>
      </c>
      <c r="F932" s="54">
        <v>66602</v>
      </c>
      <c r="G932" s="54" cm="1">
        <f t="array" ref="G932">E932*F932</f>
        <v>666020</v>
      </c>
      <c r="H932" s="53" cm="1">
        <f t="array" ref="H932">YEAR(A932)</f>
        <v>2026</v>
      </c>
      <c r="I932" t="str" s="55" cm="1">
        <f t="array" ref="I932">"Q"&amp;ROUNDUP(MONTH(A932)/3,0)</f>
        <v>Q3</v>
      </c>
      <c r="J932" t="s" s="52">
        <v>69</v>
      </c>
    </row>
    <row r="933" ht="13.55" customHeight="1">
      <c r="A933" s="56">
        <v>46220</v>
      </c>
      <c r="B933" t="s" s="57">
        <v>22</v>
      </c>
      <c r="C933" t="s" s="57">
        <v>81</v>
      </c>
      <c r="D933" t="s" s="57">
        <v>18</v>
      </c>
      <c r="E933" s="58">
        <v>13</v>
      </c>
      <c r="F933" s="59">
        <v>57999</v>
      </c>
      <c r="G933" s="59" cm="1">
        <f t="array" ref="G933">E933*F933</f>
        <v>753987</v>
      </c>
      <c r="H933" s="58" cm="1">
        <f t="array" ref="H933">YEAR(A933)</f>
        <v>2026</v>
      </c>
      <c r="I933" t="str" s="60" cm="1">
        <f t="array" ref="I933">"Q"&amp;ROUNDUP(MONTH(A933)/3,0)</f>
        <v>Q3</v>
      </c>
      <c r="J933" t="s" s="57">
        <v>69</v>
      </c>
    </row>
    <row r="934" ht="13.55" customHeight="1">
      <c r="A934" s="51">
        <v>46221</v>
      </c>
      <c r="B934" t="s" s="52">
        <v>23</v>
      </c>
      <c r="C934" t="s" s="52">
        <v>84</v>
      </c>
      <c r="D934" t="s" s="52">
        <v>18</v>
      </c>
      <c r="E934" s="53">
        <v>9</v>
      </c>
      <c r="F934" s="54">
        <v>36707</v>
      </c>
      <c r="G934" s="54" cm="1">
        <f t="array" ref="G934">E934*F934</f>
        <v>330363</v>
      </c>
      <c r="H934" s="53" cm="1">
        <f t="array" ref="H934">YEAR(A934)</f>
        <v>2026</v>
      </c>
      <c r="I934" t="str" s="55" cm="1">
        <f t="array" ref="I934">"Q"&amp;ROUNDUP(MONTH(A934)/3,0)</f>
        <v>Q3</v>
      </c>
      <c r="J934" t="s" s="52">
        <v>69</v>
      </c>
    </row>
    <row r="935" ht="13.55" customHeight="1">
      <c r="A935" s="56">
        <v>46223</v>
      </c>
      <c r="B935" t="s" s="57">
        <v>22</v>
      </c>
      <c r="C935" t="s" s="57">
        <v>80</v>
      </c>
      <c r="D935" t="s" s="57">
        <v>15</v>
      </c>
      <c r="E935" s="58">
        <v>3</v>
      </c>
      <c r="F935" s="59">
        <v>55931</v>
      </c>
      <c r="G935" s="59" cm="1">
        <f t="array" ref="G935">E935*F935</f>
        <v>167793</v>
      </c>
      <c r="H935" s="58" cm="1">
        <f t="array" ref="H935">YEAR(A935)</f>
        <v>2026</v>
      </c>
      <c r="I935" t="str" s="60" cm="1">
        <f t="array" ref="I935">"Q"&amp;ROUNDUP(MONTH(A935)/3,0)</f>
        <v>Q3</v>
      </c>
      <c r="J935" t="s" s="57">
        <v>69</v>
      </c>
    </row>
    <row r="936" ht="13.55" customHeight="1">
      <c r="A936" s="51">
        <v>46223</v>
      </c>
      <c r="B936" t="s" s="52">
        <v>21</v>
      </c>
      <c r="C936" t="s" s="52">
        <v>80</v>
      </c>
      <c r="D936" t="s" s="52">
        <v>15</v>
      </c>
      <c r="E936" s="53">
        <v>19</v>
      </c>
      <c r="F936" s="54">
        <v>47239</v>
      </c>
      <c r="G936" s="54" cm="1">
        <f t="array" ref="G936">E936*F936</f>
        <v>897541</v>
      </c>
      <c r="H936" s="53" cm="1">
        <f t="array" ref="H936">YEAR(A936)</f>
        <v>2026</v>
      </c>
      <c r="I936" t="str" s="55" cm="1">
        <f t="array" ref="I936">"Q"&amp;ROUNDUP(MONTH(A936)/3,0)</f>
        <v>Q3</v>
      </c>
      <c r="J936" t="s" s="52">
        <v>69</v>
      </c>
    </row>
    <row r="937" ht="13.55" customHeight="1">
      <c r="A937" s="56">
        <v>46225</v>
      </c>
      <c r="B937" t="s" s="57">
        <v>21</v>
      </c>
      <c r="C937" t="s" s="57">
        <v>84</v>
      </c>
      <c r="D937" t="s" s="57">
        <v>18</v>
      </c>
      <c r="E937" s="58">
        <v>10</v>
      </c>
      <c r="F937" s="59">
        <v>77045</v>
      </c>
      <c r="G937" s="59" cm="1">
        <f t="array" ref="G937">E937*F937</f>
        <v>770450</v>
      </c>
      <c r="H937" s="58" cm="1">
        <f t="array" ref="H937">YEAR(A937)</f>
        <v>2026</v>
      </c>
      <c r="I937" t="str" s="60" cm="1">
        <f t="array" ref="I937">"Q"&amp;ROUNDUP(MONTH(A937)/3,0)</f>
        <v>Q3</v>
      </c>
      <c r="J937" t="s" s="57">
        <v>69</v>
      </c>
    </row>
    <row r="938" ht="13.55" customHeight="1">
      <c r="A938" s="51">
        <v>46226</v>
      </c>
      <c r="B938" t="s" s="52">
        <v>21</v>
      </c>
      <c r="C938" t="s" s="52">
        <v>81</v>
      </c>
      <c r="D938" t="s" s="52">
        <v>18</v>
      </c>
      <c r="E938" s="53">
        <v>11</v>
      </c>
      <c r="F938" s="54">
        <v>11511</v>
      </c>
      <c r="G938" s="54" cm="1">
        <f t="array" ref="G938">E938*F938</f>
        <v>126621</v>
      </c>
      <c r="H938" s="53" cm="1">
        <f t="array" ref="H938">YEAR(A938)</f>
        <v>2026</v>
      </c>
      <c r="I938" t="str" s="55" cm="1">
        <f t="array" ref="I938">"Q"&amp;ROUNDUP(MONTH(A938)/3,0)</f>
        <v>Q3</v>
      </c>
      <c r="J938" t="s" s="52">
        <v>69</v>
      </c>
    </row>
    <row r="939" ht="13.55" customHeight="1">
      <c r="A939" s="56">
        <v>46226</v>
      </c>
      <c r="B939" t="s" s="57">
        <v>21</v>
      </c>
      <c r="C939" t="s" s="57">
        <v>81</v>
      </c>
      <c r="D939" t="s" s="57">
        <v>15</v>
      </c>
      <c r="E939" s="58">
        <v>5</v>
      </c>
      <c r="F939" s="59">
        <v>77373</v>
      </c>
      <c r="G939" s="59" cm="1">
        <f t="array" ref="G939">E939*F939</f>
        <v>386865</v>
      </c>
      <c r="H939" s="58" cm="1">
        <f t="array" ref="H939">YEAR(A939)</f>
        <v>2026</v>
      </c>
      <c r="I939" t="str" s="60" cm="1">
        <f t="array" ref="I939">"Q"&amp;ROUNDUP(MONTH(A939)/3,0)</f>
        <v>Q3</v>
      </c>
      <c r="J939" t="s" s="57">
        <v>69</v>
      </c>
    </row>
    <row r="940" ht="13.55" customHeight="1">
      <c r="A940" s="51">
        <v>46227</v>
      </c>
      <c r="B940" t="s" s="52">
        <v>23</v>
      </c>
      <c r="C940" t="s" s="52">
        <v>80</v>
      </c>
      <c r="D940" t="s" s="52">
        <v>15</v>
      </c>
      <c r="E940" s="53">
        <v>15</v>
      </c>
      <c r="F940" s="54">
        <v>39660</v>
      </c>
      <c r="G940" s="54" cm="1">
        <f t="array" ref="G940">E940*F940</f>
        <v>594900</v>
      </c>
      <c r="H940" s="53" cm="1">
        <f t="array" ref="H940">YEAR(A940)</f>
        <v>2026</v>
      </c>
      <c r="I940" t="str" s="55" cm="1">
        <f t="array" ref="I940">"Q"&amp;ROUNDUP(MONTH(A940)/3,0)</f>
        <v>Q3</v>
      </c>
      <c r="J940" t="s" s="52">
        <v>69</v>
      </c>
    </row>
    <row r="941" ht="13.55" customHeight="1">
      <c r="A941" s="56">
        <v>46227</v>
      </c>
      <c r="B941" t="s" s="57">
        <v>20</v>
      </c>
      <c r="C941" t="s" s="57">
        <v>78</v>
      </c>
      <c r="D941" t="s" s="57">
        <v>17</v>
      </c>
      <c r="E941" s="58">
        <v>2</v>
      </c>
      <c r="F941" s="59">
        <v>17453</v>
      </c>
      <c r="G941" s="59" cm="1">
        <f t="array" ref="G941">E941*F941</f>
        <v>34906</v>
      </c>
      <c r="H941" s="58" cm="1">
        <f t="array" ref="H941">YEAR(A941)</f>
        <v>2026</v>
      </c>
      <c r="I941" t="str" s="60" cm="1">
        <f t="array" ref="I941">"Q"&amp;ROUNDUP(MONTH(A941)/3,0)</f>
        <v>Q3</v>
      </c>
      <c r="J941" t="s" s="57">
        <v>69</v>
      </c>
    </row>
    <row r="942" ht="13.55" customHeight="1">
      <c r="A942" s="51">
        <v>46234</v>
      </c>
      <c r="B942" t="s" s="52">
        <v>21</v>
      </c>
      <c r="C942" t="s" s="52">
        <v>84</v>
      </c>
      <c r="D942" t="s" s="52">
        <v>16</v>
      </c>
      <c r="E942" s="53">
        <v>19</v>
      </c>
      <c r="F942" s="54">
        <v>40436</v>
      </c>
      <c r="G942" s="54" cm="1">
        <f t="array" ref="G942">E942*F942</f>
        <v>768284</v>
      </c>
      <c r="H942" s="53" cm="1">
        <f t="array" ref="H942">YEAR(A942)</f>
        <v>2026</v>
      </c>
      <c r="I942" t="str" s="55" cm="1">
        <f t="array" ref="I942">"Q"&amp;ROUNDUP(MONTH(A942)/3,0)</f>
        <v>Q3</v>
      </c>
      <c r="J942" t="s" s="52">
        <v>69</v>
      </c>
    </row>
    <row r="943" ht="13.55" customHeight="1">
      <c r="A943" s="56">
        <v>46234</v>
      </c>
      <c r="B943" t="s" s="57">
        <v>22</v>
      </c>
      <c r="C943" t="s" s="57">
        <v>78</v>
      </c>
      <c r="D943" t="s" s="57">
        <v>15</v>
      </c>
      <c r="E943" s="58">
        <v>4</v>
      </c>
      <c r="F943" s="59">
        <v>66169</v>
      </c>
      <c r="G943" s="59" cm="1">
        <f t="array" ref="G943">E943*F943</f>
        <v>264676</v>
      </c>
      <c r="H943" s="58" cm="1">
        <f t="array" ref="H943">YEAR(A943)</f>
        <v>2026</v>
      </c>
      <c r="I943" t="str" s="60" cm="1">
        <f t="array" ref="I943">"Q"&amp;ROUNDUP(MONTH(A943)/3,0)</f>
        <v>Q3</v>
      </c>
      <c r="J943" t="s" s="57">
        <v>69</v>
      </c>
    </row>
    <row r="944" ht="13.55" customHeight="1">
      <c r="A944" s="51">
        <v>46234</v>
      </c>
      <c r="B944" t="s" s="52">
        <v>20</v>
      </c>
      <c r="C944" t="s" s="52">
        <v>82</v>
      </c>
      <c r="D944" t="s" s="52">
        <v>18</v>
      </c>
      <c r="E944" s="53">
        <v>18</v>
      </c>
      <c r="F944" s="54">
        <v>35981</v>
      </c>
      <c r="G944" s="54" cm="1">
        <f t="array" ref="G944">E944*F944</f>
        <v>647658</v>
      </c>
      <c r="H944" s="53" cm="1">
        <f t="array" ref="H944">YEAR(A944)</f>
        <v>2026</v>
      </c>
      <c r="I944" t="str" s="55" cm="1">
        <f t="array" ref="I944">"Q"&amp;ROUNDUP(MONTH(A944)/3,0)</f>
        <v>Q3</v>
      </c>
      <c r="J944" t="s" s="52">
        <v>69</v>
      </c>
    </row>
    <row r="945" ht="13.55" customHeight="1">
      <c r="A945" s="56">
        <v>46237</v>
      </c>
      <c r="B945" t="s" s="57">
        <v>22</v>
      </c>
      <c r="C945" t="s" s="57">
        <v>78</v>
      </c>
      <c r="D945" t="s" s="57">
        <v>16</v>
      </c>
      <c r="E945" s="58">
        <v>5</v>
      </c>
      <c r="F945" s="59">
        <v>24996</v>
      </c>
      <c r="G945" s="59" cm="1">
        <f t="array" ref="G945">E945*F945</f>
        <v>124980</v>
      </c>
      <c r="H945" s="58" cm="1">
        <f t="array" ref="H945">YEAR(A945)</f>
        <v>2026</v>
      </c>
      <c r="I945" t="str" s="60" cm="1">
        <f t="array" ref="I945">"Q"&amp;ROUNDUP(MONTH(A945)/3,0)</f>
        <v>Q3</v>
      </c>
      <c r="J945" t="s" s="57">
        <v>70</v>
      </c>
    </row>
    <row r="946" ht="13.55" customHeight="1">
      <c r="A946" s="51">
        <v>46237</v>
      </c>
      <c r="B946" t="s" s="52">
        <v>23</v>
      </c>
      <c r="C946" t="s" s="52">
        <v>81</v>
      </c>
      <c r="D946" t="s" s="52">
        <v>15</v>
      </c>
      <c r="E946" s="53">
        <v>15</v>
      </c>
      <c r="F946" s="54">
        <v>61683</v>
      </c>
      <c r="G946" s="54" cm="1">
        <f t="array" ref="G946">E946*F946</f>
        <v>925245</v>
      </c>
      <c r="H946" s="53" cm="1">
        <f t="array" ref="H946">YEAR(A946)</f>
        <v>2026</v>
      </c>
      <c r="I946" t="str" s="55" cm="1">
        <f t="array" ref="I946">"Q"&amp;ROUNDUP(MONTH(A946)/3,0)</f>
        <v>Q3</v>
      </c>
      <c r="J946" t="s" s="52">
        <v>70</v>
      </c>
    </row>
    <row r="947" ht="13.55" customHeight="1">
      <c r="A947" s="56">
        <v>46239</v>
      </c>
      <c r="B947" t="s" s="57">
        <v>21</v>
      </c>
      <c r="C947" t="s" s="57">
        <v>82</v>
      </c>
      <c r="D947" t="s" s="57">
        <v>18</v>
      </c>
      <c r="E947" s="58">
        <v>17</v>
      </c>
      <c r="F947" s="59">
        <v>74783</v>
      </c>
      <c r="G947" s="59" cm="1">
        <f t="array" ref="G947">E947*F947</f>
        <v>1271311</v>
      </c>
      <c r="H947" s="58" cm="1">
        <f t="array" ref="H947">YEAR(A947)</f>
        <v>2026</v>
      </c>
      <c r="I947" t="str" s="60" cm="1">
        <f t="array" ref="I947">"Q"&amp;ROUNDUP(MONTH(A947)/3,0)</f>
        <v>Q3</v>
      </c>
      <c r="J947" t="s" s="57">
        <v>70</v>
      </c>
    </row>
    <row r="948" ht="13.55" customHeight="1">
      <c r="A948" s="51">
        <v>46242</v>
      </c>
      <c r="B948" t="s" s="52">
        <v>23</v>
      </c>
      <c r="C948" t="s" s="52">
        <v>78</v>
      </c>
      <c r="D948" t="s" s="52">
        <v>15</v>
      </c>
      <c r="E948" s="53">
        <v>4</v>
      </c>
      <c r="F948" s="54">
        <v>71983</v>
      </c>
      <c r="G948" s="54" cm="1">
        <f t="array" ref="G948">E948*F948</f>
        <v>287932</v>
      </c>
      <c r="H948" s="53" cm="1">
        <f t="array" ref="H948">YEAR(A948)</f>
        <v>2026</v>
      </c>
      <c r="I948" t="str" s="55" cm="1">
        <f t="array" ref="I948">"Q"&amp;ROUNDUP(MONTH(A948)/3,0)</f>
        <v>Q3</v>
      </c>
      <c r="J948" t="s" s="52">
        <v>70</v>
      </c>
    </row>
    <row r="949" ht="13.55" customHeight="1">
      <c r="A949" s="56">
        <v>46243</v>
      </c>
      <c r="B949" t="s" s="57">
        <v>20</v>
      </c>
      <c r="C949" t="s" s="57">
        <v>84</v>
      </c>
      <c r="D949" t="s" s="57">
        <v>17</v>
      </c>
      <c r="E949" s="58">
        <v>5</v>
      </c>
      <c r="F949" s="59">
        <v>56831</v>
      </c>
      <c r="G949" s="59" cm="1">
        <f t="array" ref="G949">E949*F949</f>
        <v>284155</v>
      </c>
      <c r="H949" s="58" cm="1">
        <f t="array" ref="H949">YEAR(A949)</f>
        <v>2026</v>
      </c>
      <c r="I949" t="str" s="60" cm="1">
        <f t="array" ref="I949">"Q"&amp;ROUNDUP(MONTH(A949)/3,0)</f>
        <v>Q3</v>
      </c>
      <c r="J949" t="s" s="57">
        <v>70</v>
      </c>
    </row>
    <row r="950" ht="13.55" customHeight="1">
      <c r="A950" s="51">
        <v>46244</v>
      </c>
      <c r="B950" t="s" s="52">
        <v>23</v>
      </c>
      <c r="C950" t="s" s="52">
        <v>84</v>
      </c>
      <c r="D950" t="s" s="52">
        <v>15</v>
      </c>
      <c r="E950" s="53">
        <v>9</v>
      </c>
      <c r="F950" s="54">
        <v>75293</v>
      </c>
      <c r="G950" s="54" cm="1">
        <f t="array" ref="G950">E950*F950</f>
        <v>677637</v>
      </c>
      <c r="H950" s="53" cm="1">
        <f t="array" ref="H950">YEAR(A950)</f>
        <v>2026</v>
      </c>
      <c r="I950" t="str" s="55" cm="1">
        <f t="array" ref="I950">"Q"&amp;ROUNDUP(MONTH(A950)/3,0)</f>
        <v>Q3</v>
      </c>
      <c r="J950" t="s" s="52">
        <v>70</v>
      </c>
    </row>
    <row r="951" ht="13.55" customHeight="1">
      <c r="A951" s="56">
        <v>46244</v>
      </c>
      <c r="B951" t="s" s="57">
        <v>21</v>
      </c>
      <c r="C951" t="s" s="57">
        <v>78</v>
      </c>
      <c r="D951" t="s" s="57">
        <v>16</v>
      </c>
      <c r="E951" s="58">
        <v>8</v>
      </c>
      <c r="F951" s="59">
        <v>68972</v>
      </c>
      <c r="G951" s="59" cm="1">
        <f t="array" ref="G951">E951*F951</f>
        <v>551776</v>
      </c>
      <c r="H951" s="58" cm="1">
        <f t="array" ref="H951">YEAR(A951)</f>
        <v>2026</v>
      </c>
      <c r="I951" t="str" s="60" cm="1">
        <f t="array" ref="I951">"Q"&amp;ROUNDUP(MONTH(A951)/3,0)</f>
        <v>Q3</v>
      </c>
      <c r="J951" t="s" s="57">
        <v>70</v>
      </c>
    </row>
    <row r="952" ht="13.55" customHeight="1">
      <c r="A952" s="51">
        <v>46244</v>
      </c>
      <c r="B952" t="s" s="52">
        <v>23</v>
      </c>
      <c r="C952" t="s" s="52">
        <v>78</v>
      </c>
      <c r="D952" t="s" s="52">
        <v>18</v>
      </c>
      <c r="E952" s="53">
        <v>12</v>
      </c>
      <c r="F952" s="54">
        <v>23019</v>
      </c>
      <c r="G952" s="54" cm="1">
        <f t="array" ref="G952">E952*F952</f>
        <v>276228</v>
      </c>
      <c r="H952" s="53" cm="1">
        <f t="array" ref="H952">YEAR(A952)</f>
        <v>2026</v>
      </c>
      <c r="I952" t="str" s="55" cm="1">
        <f t="array" ref="I952">"Q"&amp;ROUNDUP(MONTH(A952)/3,0)</f>
        <v>Q3</v>
      </c>
      <c r="J952" t="s" s="52">
        <v>70</v>
      </c>
    </row>
    <row r="953" ht="13.55" customHeight="1">
      <c r="A953" s="56">
        <v>46245</v>
      </c>
      <c r="B953" t="s" s="57">
        <v>23</v>
      </c>
      <c r="C953" t="s" s="57">
        <v>78</v>
      </c>
      <c r="D953" t="s" s="57">
        <v>18</v>
      </c>
      <c r="E953" s="58">
        <v>19</v>
      </c>
      <c r="F953" s="59">
        <v>70785</v>
      </c>
      <c r="G953" s="59" cm="1">
        <f t="array" ref="G953">E953*F953</f>
        <v>1344915</v>
      </c>
      <c r="H953" s="58" cm="1">
        <f t="array" ref="H953">YEAR(A953)</f>
        <v>2026</v>
      </c>
      <c r="I953" t="str" s="60" cm="1">
        <f t="array" ref="I953">"Q"&amp;ROUNDUP(MONTH(A953)/3,0)</f>
        <v>Q3</v>
      </c>
      <c r="J953" t="s" s="57">
        <v>70</v>
      </c>
    </row>
    <row r="954" ht="13.55" customHeight="1">
      <c r="A954" s="51">
        <v>46246</v>
      </c>
      <c r="B954" t="s" s="52">
        <v>22</v>
      </c>
      <c r="C954" t="s" s="52">
        <v>83</v>
      </c>
      <c r="D954" t="s" s="52">
        <v>16</v>
      </c>
      <c r="E954" s="53">
        <v>13</v>
      </c>
      <c r="F954" s="54">
        <v>14277</v>
      </c>
      <c r="G954" s="54" cm="1">
        <f t="array" ref="G954">E954*F954</f>
        <v>185601</v>
      </c>
      <c r="H954" s="53" cm="1">
        <f t="array" ref="H954">YEAR(A954)</f>
        <v>2026</v>
      </c>
      <c r="I954" t="str" s="55" cm="1">
        <f t="array" ref="I954">"Q"&amp;ROUNDUP(MONTH(A954)/3,0)</f>
        <v>Q3</v>
      </c>
      <c r="J954" t="s" s="52">
        <v>70</v>
      </c>
    </row>
    <row r="955" ht="13.55" customHeight="1">
      <c r="A955" s="56">
        <v>46246</v>
      </c>
      <c r="B955" t="s" s="57">
        <v>20</v>
      </c>
      <c r="C955" t="s" s="57">
        <v>84</v>
      </c>
      <c r="D955" t="s" s="57">
        <v>15</v>
      </c>
      <c r="E955" s="58">
        <v>8</v>
      </c>
      <c r="F955" s="59">
        <v>43437</v>
      </c>
      <c r="G955" s="59" cm="1">
        <f t="array" ref="G955">E955*F955</f>
        <v>347496</v>
      </c>
      <c r="H955" s="58" cm="1">
        <f t="array" ref="H955">YEAR(A955)</f>
        <v>2026</v>
      </c>
      <c r="I955" t="str" s="60" cm="1">
        <f t="array" ref="I955">"Q"&amp;ROUNDUP(MONTH(A955)/3,0)</f>
        <v>Q3</v>
      </c>
      <c r="J955" t="s" s="57">
        <v>70</v>
      </c>
    </row>
    <row r="956" ht="13.55" customHeight="1">
      <c r="A956" s="51">
        <v>46247</v>
      </c>
      <c r="B956" t="s" s="52">
        <v>23</v>
      </c>
      <c r="C956" t="s" s="52">
        <v>82</v>
      </c>
      <c r="D956" t="s" s="52">
        <v>15</v>
      </c>
      <c r="E956" s="53">
        <v>16</v>
      </c>
      <c r="F956" s="54">
        <v>70618</v>
      </c>
      <c r="G956" s="54" cm="1">
        <f t="array" ref="G956">E956*F956</f>
        <v>1129888</v>
      </c>
      <c r="H956" s="53" cm="1">
        <f t="array" ref="H956">YEAR(A956)</f>
        <v>2026</v>
      </c>
      <c r="I956" t="str" s="55" cm="1">
        <f t="array" ref="I956">"Q"&amp;ROUNDUP(MONTH(A956)/3,0)</f>
        <v>Q3</v>
      </c>
      <c r="J956" t="s" s="52">
        <v>70</v>
      </c>
    </row>
    <row r="957" ht="13.55" customHeight="1">
      <c r="A957" s="56">
        <v>46247</v>
      </c>
      <c r="B957" t="s" s="57">
        <v>22</v>
      </c>
      <c r="C957" t="s" s="57">
        <v>84</v>
      </c>
      <c r="D957" t="s" s="57">
        <v>17</v>
      </c>
      <c r="E957" s="58">
        <v>14</v>
      </c>
      <c r="F957" s="59">
        <v>67120</v>
      </c>
      <c r="G957" s="59" cm="1">
        <f t="array" ref="G957">E957*F957</f>
        <v>939680</v>
      </c>
      <c r="H957" s="58" cm="1">
        <f t="array" ref="H957">YEAR(A957)</f>
        <v>2026</v>
      </c>
      <c r="I957" t="str" s="60" cm="1">
        <f t="array" ref="I957">"Q"&amp;ROUNDUP(MONTH(A957)/3,0)</f>
        <v>Q3</v>
      </c>
      <c r="J957" t="s" s="57">
        <v>70</v>
      </c>
    </row>
    <row r="958" ht="13.55" customHeight="1">
      <c r="A958" s="51">
        <v>46248</v>
      </c>
      <c r="B958" t="s" s="52">
        <v>20</v>
      </c>
      <c r="C958" t="s" s="52">
        <v>81</v>
      </c>
      <c r="D958" t="s" s="52">
        <v>17</v>
      </c>
      <c r="E958" s="53">
        <v>3</v>
      </c>
      <c r="F958" s="54">
        <v>5203</v>
      </c>
      <c r="G958" s="54" cm="1">
        <f t="array" ref="G958">E958*F958</f>
        <v>15609</v>
      </c>
      <c r="H958" s="53" cm="1">
        <f t="array" ref="H958">YEAR(A958)</f>
        <v>2026</v>
      </c>
      <c r="I958" t="str" s="55" cm="1">
        <f t="array" ref="I958">"Q"&amp;ROUNDUP(MONTH(A958)/3,0)</f>
        <v>Q3</v>
      </c>
      <c r="J958" t="s" s="52">
        <v>70</v>
      </c>
    </row>
    <row r="959" ht="13.55" customHeight="1">
      <c r="A959" s="56">
        <v>46248</v>
      </c>
      <c r="B959" t="s" s="57">
        <v>21</v>
      </c>
      <c r="C959" t="s" s="57">
        <v>82</v>
      </c>
      <c r="D959" t="s" s="57">
        <v>16</v>
      </c>
      <c r="E959" s="58">
        <v>1</v>
      </c>
      <c r="F959" s="59">
        <v>76386</v>
      </c>
      <c r="G959" s="59" cm="1">
        <f t="array" ref="G959">E959*F959</f>
        <v>76386</v>
      </c>
      <c r="H959" s="58" cm="1">
        <f t="array" ref="H959">YEAR(A959)</f>
        <v>2026</v>
      </c>
      <c r="I959" t="str" s="60" cm="1">
        <f t="array" ref="I959">"Q"&amp;ROUNDUP(MONTH(A959)/3,0)</f>
        <v>Q3</v>
      </c>
      <c r="J959" t="s" s="57">
        <v>70</v>
      </c>
    </row>
    <row r="960" ht="13.55" customHeight="1">
      <c r="A960" s="51">
        <v>46249</v>
      </c>
      <c r="B960" t="s" s="52">
        <v>22</v>
      </c>
      <c r="C960" t="s" s="52">
        <v>83</v>
      </c>
      <c r="D960" t="s" s="52">
        <v>15</v>
      </c>
      <c r="E960" s="53">
        <v>8</v>
      </c>
      <c r="F960" s="54">
        <v>34345</v>
      </c>
      <c r="G960" s="54" cm="1">
        <f t="array" ref="G960">E960*F960</f>
        <v>274760</v>
      </c>
      <c r="H960" s="53" cm="1">
        <f t="array" ref="H960">YEAR(A960)</f>
        <v>2026</v>
      </c>
      <c r="I960" t="str" s="55" cm="1">
        <f t="array" ref="I960">"Q"&amp;ROUNDUP(MONTH(A960)/3,0)</f>
        <v>Q3</v>
      </c>
      <c r="J960" t="s" s="52">
        <v>70</v>
      </c>
    </row>
    <row r="961" ht="13.55" customHeight="1">
      <c r="A961" s="56">
        <v>46249</v>
      </c>
      <c r="B961" t="s" s="57">
        <v>21</v>
      </c>
      <c r="C961" t="s" s="57">
        <v>80</v>
      </c>
      <c r="D961" t="s" s="57">
        <v>16</v>
      </c>
      <c r="E961" s="58">
        <v>7</v>
      </c>
      <c r="F961" s="59">
        <v>18900</v>
      </c>
      <c r="G961" s="59" cm="1">
        <f t="array" ref="G961">E961*F961</f>
        <v>132300</v>
      </c>
      <c r="H961" s="58" cm="1">
        <f t="array" ref="H961">YEAR(A961)</f>
        <v>2026</v>
      </c>
      <c r="I961" t="str" s="60" cm="1">
        <f t="array" ref="I961">"Q"&amp;ROUNDUP(MONTH(A961)/3,0)</f>
        <v>Q3</v>
      </c>
      <c r="J961" t="s" s="57">
        <v>70</v>
      </c>
    </row>
    <row r="962" ht="13.55" customHeight="1">
      <c r="A962" s="51">
        <v>46249</v>
      </c>
      <c r="B962" t="s" s="52">
        <v>21</v>
      </c>
      <c r="C962" t="s" s="52">
        <v>82</v>
      </c>
      <c r="D962" t="s" s="52">
        <v>17</v>
      </c>
      <c r="E962" s="53">
        <v>9</v>
      </c>
      <c r="F962" s="54">
        <v>31990</v>
      </c>
      <c r="G962" s="54" cm="1">
        <f t="array" ref="G962">E962*F962</f>
        <v>287910</v>
      </c>
      <c r="H962" s="53" cm="1">
        <f t="array" ref="H962">YEAR(A962)</f>
        <v>2026</v>
      </c>
      <c r="I962" t="str" s="55" cm="1">
        <f t="array" ref="I962">"Q"&amp;ROUNDUP(MONTH(A962)/3,0)</f>
        <v>Q3</v>
      </c>
      <c r="J962" t="s" s="52">
        <v>70</v>
      </c>
    </row>
    <row r="963" ht="13.55" customHeight="1">
      <c r="A963" s="56">
        <v>46249</v>
      </c>
      <c r="B963" t="s" s="57">
        <v>21</v>
      </c>
      <c r="C963" t="s" s="57">
        <v>80</v>
      </c>
      <c r="D963" t="s" s="57">
        <v>15</v>
      </c>
      <c r="E963" s="58">
        <v>7</v>
      </c>
      <c r="F963" s="59">
        <v>35109</v>
      </c>
      <c r="G963" s="59" cm="1">
        <f t="array" ref="G963">E963*F963</f>
        <v>245763</v>
      </c>
      <c r="H963" s="58" cm="1">
        <f t="array" ref="H963">YEAR(A963)</f>
        <v>2026</v>
      </c>
      <c r="I963" t="str" s="60" cm="1">
        <f t="array" ref="I963">"Q"&amp;ROUNDUP(MONTH(A963)/3,0)</f>
        <v>Q3</v>
      </c>
      <c r="J963" t="s" s="57">
        <v>70</v>
      </c>
    </row>
    <row r="964" ht="13.55" customHeight="1">
      <c r="A964" s="51">
        <v>46249</v>
      </c>
      <c r="B964" t="s" s="52">
        <v>21</v>
      </c>
      <c r="C964" t="s" s="52">
        <v>83</v>
      </c>
      <c r="D964" t="s" s="52">
        <v>18</v>
      </c>
      <c r="E964" s="53">
        <v>6</v>
      </c>
      <c r="F964" s="54">
        <v>41320</v>
      </c>
      <c r="G964" s="54" cm="1">
        <f t="array" ref="G964">E964*F964</f>
        <v>247920</v>
      </c>
      <c r="H964" s="53" cm="1">
        <f t="array" ref="H964">YEAR(A964)</f>
        <v>2026</v>
      </c>
      <c r="I964" t="str" s="55" cm="1">
        <f t="array" ref="I964">"Q"&amp;ROUNDUP(MONTH(A964)/3,0)</f>
        <v>Q3</v>
      </c>
      <c r="J964" t="s" s="52">
        <v>70</v>
      </c>
    </row>
    <row r="965" ht="13.55" customHeight="1">
      <c r="A965" s="56">
        <v>46249</v>
      </c>
      <c r="B965" t="s" s="57">
        <v>21</v>
      </c>
      <c r="C965" t="s" s="57">
        <v>82</v>
      </c>
      <c r="D965" t="s" s="57">
        <v>17</v>
      </c>
      <c r="E965" s="58">
        <v>15</v>
      </c>
      <c r="F965" s="59">
        <v>67943</v>
      </c>
      <c r="G965" s="59" cm="1">
        <f t="array" ref="G965">E965*F965</f>
        <v>1019145</v>
      </c>
      <c r="H965" s="58" cm="1">
        <f t="array" ref="H965">YEAR(A965)</f>
        <v>2026</v>
      </c>
      <c r="I965" t="str" s="60" cm="1">
        <f t="array" ref="I965">"Q"&amp;ROUNDUP(MONTH(A965)/3,0)</f>
        <v>Q3</v>
      </c>
      <c r="J965" t="s" s="57">
        <v>70</v>
      </c>
    </row>
    <row r="966" ht="13.55" customHeight="1">
      <c r="A966" s="51">
        <v>46250</v>
      </c>
      <c r="B966" t="s" s="52">
        <v>21</v>
      </c>
      <c r="C966" t="s" s="52">
        <v>83</v>
      </c>
      <c r="D966" t="s" s="52">
        <v>15</v>
      </c>
      <c r="E966" s="53">
        <v>16</v>
      </c>
      <c r="F966" s="54">
        <v>64550</v>
      </c>
      <c r="G966" s="54" cm="1">
        <f t="array" ref="G966">E966*F966</f>
        <v>1032800</v>
      </c>
      <c r="H966" s="53" cm="1">
        <f t="array" ref="H966">YEAR(A966)</f>
        <v>2026</v>
      </c>
      <c r="I966" t="str" s="55" cm="1">
        <f t="array" ref="I966">"Q"&amp;ROUNDUP(MONTH(A966)/3,0)</f>
        <v>Q3</v>
      </c>
      <c r="J966" t="s" s="52">
        <v>70</v>
      </c>
    </row>
    <row r="967" ht="13.55" customHeight="1">
      <c r="A967" s="56">
        <v>46250</v>
      </c>
      <c r="B967" t="s" s="57">
        <v>21</v>
      </c>
      <c r="C967" t="s" s="57">
        <v>78</v>
      </c>
      <c r="D967" t="s" s="57">
        <v>16</v>
      </c>
      <c r="E967" s="58">
        <v>15</v>
      </c>
      <c r="F967" s="59">
        <v>36085</v>
      </c>
      <c r="G967" s="59" cm="1">
        <f t="array" ref="G967">E967*F967</f>
        <v>541275</v>
      </c>
      <c r="H967" s="58" cm="1">
        <f t="array" ref="H967">YEAR(A967)</f>
        <v>2026</v>
      </c>
      <c r="I967" t="str" s="60" cm="1">
        <f t="array" ref="I967">"Q"&amp;ROUNDUP(MONTH(A967)/3,0)</f>
        <v>Q3</v>
      </c>
      <c r="J967" t="s" s="57">
        <v>70</v>
      </c>
    </row>
    <row r="968" ht="13.55" customHeight="1">
      <c r="A968" s="51">
        <v>46251</v>
      </c>
      <c r="B968" t="s" s="52">
        <v>20</v>
      </c>
      <c r="C968" t="s" s="52">
        <v>83</v>
      </c>
      <c r="D968" t="s" s="52">
        <v>18</v>
      </c>
      <c r="E968" s="53">
        <v>8</v>
      </c>
      <c r="F968" s="54">
        <v>37933</v>
      </c>
      <c r="G968" s="54" cm="1">
        <f t="array" ref="G968">E968*F968</f>
        <v>303464</v>
      </c>
      <c r="H968" s="53" cm="1">
        <f t="array" ref="H968">YEAR(A968)</f>
        <v>2026</v>
      </c>
      <c r="I968" t="str" s="55" cm="1">
        <f t="array" ref="I968">"Q"&amp;ROUNDUP(MONTH(A968)/3,0)</f>
        <v>Q3</v>
      </c>
      <c r="J968" t="s" s="52">
        <v>70</v>
      </c>
    </row>
    <row r="969" ht="13.55" customHeight="1">
      <c r="A969" s="56">
        <v>46252</v>
      </c>
      <c r="B969" t="s" s="57">
        <v>20</v>
      </c>
      <c r="C969" t="s" s="57">
        <v>83</v>
      </c>
      <c r="D969" t="s" s="57">
        <v>17</v>
      </c>
      <c r="E969" s="58">
        <v>1</v>
      </c>
      <c r="F969" s="59">
        <v>54393</v>
      </c>
      <c r="G969" s="59" cm="1">
        <f t="array" ref="G969">E969*F969</f>
        <v>54393</v>
      </c>
      <c r="H969" s="58" cm="1">
        <f t="array" ref="H969">YEAR(A969)</f>
        <v>2026</v>
      </c>
      <c r="I969" t="str" s="60" cm="1">
        <f t="array" ref="I969">"Q"&amp;ROUNDUP(MONTH(A969)/3,0)</f>
        <v>Q3</v>
      </c>
      <c r="J969" t="s" s="57">
        <v>70</v>
      </c>
    </row>
    <row r="970" ht="13.55" customHeight="1">
      <c r="A970" s="51">
        <v>46253</v>
      </c>
      <c r="B970" t="s" s="52">
        <v>21</v>
      </c>
      <c r="C970" t="s" s="52">
        <v>81</v>
      </c>
      <c r="D970" t="s" s="52">
        <v>17</v>
      </c>
      <c r="E970" s="53">
        <v>18</v>
      </c>
      <c r="F970" s="54">
        <v>49435</v>
      </c>
      <c r="G970" s="54" cm="1">
        <f t="array" ref="G970">E970*F970</f>
        <v>889830</v>
      </c>
      <c r="H970" s="53" cm="1">
        <f t="array" ref="H970">YEAR(A970)</f>
        <v>2026</v>
      </c>
      <c r="I970" t="str" s="55" cm="1">
        <f t="array" ref="I970">"Q"&amp;ROUNDUP(MONTH(A970)/3,0)</f>
        <v>Q3</v>
      </c>
      <c r="J970" t="s" s="52">
        <v>70</v>
      </c>
    </row>
    <row r="971" ht="13.55" customHeight="1">
      <c r="A971" s="56">
        <v>46254</v>
      </c>
      <c r="B971" t="s" s="57">
        <v>23</v>
      </c>
      <c r="C971" t="s" s="57">
        <v>83</v>
      </c>
      <c r="D971" t="s" s="57">
        <v>16</v>
      </c>
      <c r="E971" s="58">
        <v>6</v>
      </c>
      <c r="F971" s="59">
        <v>67790</v>
      </c>
      <c r="G971" s="59" cm="1">
        <f t="array" ref="G971">E971*F971</f>
        <v>406740</v>
      </c>
      <c r="H971" s="58" cm="1">
        <f t="array" ref="H971">YEAR(A971)</f>
        <v>2026</v>
      </c>
      <c r="I971" t="str" s="60" cm="1">
        <f t="array" ref="I971">"Q"&amp;ROUNDUP(MONTH(A971)/3,0)</f>
        <v>Q3</v>
      </c>
      <c r="J971" t="s" s="57">
        <v>70</v>
      </c>
    </row>
    <row r="972" ht="13.55" customHeight="1">
      <c r="A972" s="51">
        <v>46254</v>
      </c>
      <c r="B972" t="s" s="52">
        <v>21</v>
      </c>
      <c r="C972" t="s" s="52">
        <v>81</v>
      </c>
      <c r="D972" t="s" s="52">
        <v>18</v>
      </c>
      <c r="E972" s="53">
        <v>12</v>
      </c>
      <c r="F972" s="54">
        <v>19683</v>
      </c>
      <c r="G972" s="54" cm="1">
        <f t="array" ref="G972">E972*F972</f>
        <v>236196</v>
      </c>
      <c r="H972" s="53" cm="1">
        <f t="array" ref="H972">YEAR(A972)</f>
        <v>2026</v>
      </c>
      <c r="I972" t="str" s="55" cm="1">
        <f t="array" ref="I972">"Q"&amp;ROUNDUP(MONTH(A972)/3,0)</f>
        <v>Q3</v>
      </c>
      <c r="J972" t="s" s="52">
        <v>70</v>
      </c>
    </row>
    <row r="973" ht="13.55" customHeight="1">
      <c r="A973" s="56">
        <v>46259</v>
      </c>
      <c r="B973" t="s" s="57">
        <v>21</v>
      </c>
      <c r="C973" t="s" s="57">
        <v>81</v>
      </c>
      <c r="D973" t="s" s="57">
        <v>18</v>
      </c>
      <c r="E973" s="58">
        <v>3</v>
      </c>
      <c r="F973" s="59">
        <v>27908</v>
      </c>
      <c r="G973" s="59" cm="1">
        <f t="array" ref="G973">E973*F973</f>
        <v>83724</v>
      </c>
      <c r="H973" s="58" cm="1">
        <f t="array" ref="H973">YEAR(A973)</f>
        <v>2026</v>
      </c>
      <c r="I973" t="str" s="60" cm="1">
        <f t="array" ref="I973">"Q"&amp;ROUNDUP(MONTH(A973)/3,0)</f>
        <v>Q3</v>
      </c>
      <c r="J973" t="s" s="57">
        <v>70</v>
      </c>
    </row>
    <row r="974" ht="13.55" customHeight="1">
      <c r="A974" s="51">
        <v>46259</v>
      </c>
      <c r="B974" t="s" s="52">
        <v>20</v>
      </c>
      <c r="C974" t="s" s="52">
        <v>81</v>
      </c>
      <c r="D974" t="s" s="52">
        <v>15</v>
      </c>
      <c r="E974" s="53">
        <v>19</v>
      </c>
      <c r="F974" s="54">
        <v>33453</v>
      </c>
      <c r="G974" s="54" cm="1">
        <f t="array" ref="G974">E974*F974</f>
        <v>635607</v>
      </c>
      <c r="H974" s="53" cm="1">
        <f t="array" ref="H974">YEAR(A974)</f>
        <v>2026</v>
      </c>
      <c r="I974" t="str" s="55" cm="1">
        <f t="array" ref="I974">"Q"&amp;ROUNDUP(MONTH(A974)/3,0)</f>
        <v>Q3</v>
      </c>
      <c r="J974" t="s" s="52">
        <v>70</v>
      </c>
    </row>
    <row r="975" ht="13.55" customHeight="1">
      <c r="A975" s="56">
        <v>46261</v>
      </c>
      <c r="B975" t="s" s="57">
        <v>22</v>
      </c>
      <c r="C975" t="s" s="57">
        <v>84</v>
      </c>
      <c r="D975" t="s" s="57">
        <v>16</v>
      </c>
      <c r="E975" s="58">
        <v>6</v>
      </c>
      <c r="F975" s="59">
        <v>39485</v>
      </c>
      <c r="G975" s="59" cm="1">
        <f t="array" ref="G975">E975*F975</f>
        <v>236910</v>
      </c>
      <c r="H975" s="58" cm="1">
        <f t="array" ref="H975">YEAR(A975)</f>
        <v>2026</v>
      </c>
      <c r="I975" t="str" s="60" cm="1">
        <f t="array" ref="I975">"Q"&amp;ROUNDUP(MONTH(A975)/3,0)</f>
        <v>Q3</v>
      </c>
      <c r="J975" t="s" s="57">
        <v>70</v>
      </c>
    </row>
    <row r="976" ht="13.55" customHeight="1">
      <c r="A976" s="51">
        <v>46262</v>
      </c>
      <c r="B976" t="s" s="52">
        <v>21</v>
      </c>
      <c r="C976" t="s" s="52">
        <v>84</v>
      </c>
      <c r="D976" t="s" s="52">
        <v>16</v>
      </c>
      <c r="E976" s="53">
        <v>16</v>
      </c>
      <c r="F976" s="54">
        <v>45863</v>
      </c>
      <c r="G976" s="54" cm="1">
        <f t="array" ref="G976">E976*F976</f>
        <v>733808</v>
      </c>
      <c r="H976" s="53" cm="1">
        <f t="array" ref="H976">YEAR(A976)</f>
        <v>2026</v>
      </c>
      <c r="I976" t="str" s="55" cm="1">
        <f t="array" ref="I976">"Q"&amp;ROUNDUP(MONTH(A976)/3,0)</f>
        <v>Q3</v>
      </c>
      <c r="J976" t="s" s="52">
        <v>70</v>
      </c>
    </row>
    <row r="977" ht="13.55" customHeight="1">
      <c r="A977" s="56">
        <v>46263</v>
      </c>
      <c r="B977" t="s" s="57">
        <v>21</v>
      </c>
      <c r="C977" t="s" s="57">
        <v>82</v>
      </c>
      <c r="D977" t="s" s="57">
        <v>16</v>
      </c>
      <c r="E977" s="58">
        <v>17</v>
      </c>
      <c r="F977" s="59">
        <v>47788</v>
      </c>
      <c r="G977" s="59" cm="1">
        <f t="array" ref="G977">E977*F977</f>
        <v>812396</v>
      </c>
      <c r="H977" s="58" cm="1">
        <f t="array" ref="H977">YEAR(A977)</f>
        <v>2026</v>
      </c>
      <c r="I977" t="str" s="60" cm="1">
        <f t="array" ref="I977">"Q"&amp;ROUNDUP(MONTH(A977)/3,0)</f>
        <v>Q3</v>
      </c>
      <c r="J977" t="s" s="57">
        <v>70</v>
      </c>
    </row>
    <row r="978" ht="13.55" customHeight="1">
      <c r="A978" s="51">
        <v>46263</v>
      </c>
      <c r="B978" t="s" s="52">
        <v>23</v>
      </c>
      <c r="C978" t="s" s="52">
        <v>82</v>
      </c>
      <c r="D978" t="s" s="52">
        <v>16</v>
      </c>
      <c r="E978" s="53">
        <v>4</v>
      </c>
      <c r="F978" s="54">
        <v>55225</v>
      </c>
      <c r="G978" s="54" cm="1">
        <f t="array" ref="G978">E978*F978</f>
        <v>220900</v>
      </c>
      <c r="H978" s="53" cm="1">
        <f t="array" ref="H978">YEAR(A978)</f>
        <v>2026</v>
      </c>
      <c r="I978" t="str" s="55" cm="1">
        <f t="array" ref="I978">"Q"&amp;ROUNDUP(MONTH(A978)/3,0)</f>
        <v>Q3</v>
      </c>
      <c r="J978" t="s" s="52">
        <v>70</v>
      </c>
    </row>
    <row r="979" ht="13.55" customHeight="1">
      <c r="A979" s="56">
        <v>46264</v>
      </c>
      <c r="B979" t="s" s="57">
        <v>22</v>
      </c>
      <c r="C979" t="s" s="57">
        <v>84</v>
      </c>
      <c r="D979" t="s" s="57">
        <v>16</v>
      </c>
      <c r="E979" s="58">
        <v>4</v>
      </c>
      <c r="F979" s="59">
        <v>35049</v>
      </c>
      <c r="G979" s="59" cm="1">
        <f t="array" ref="G979">E979*F979</f>
        <v>140196</v>
      </c>
      <c r="H979" s="58" cm="1">
        <f t="array" ref="H979">YEAR(A979)</f>
        <v>2026</v>
      </c>
      <c r="I979" t="str" s="60" cm="1">
        <f t="array" ref="I979">"Q"&amp;ROUNDUP(MONTH(A979)/3,0)</f>
        <v>Q3</v>
      </c>
      <c r="J979" t="s" s="57">
        <v>70</v>
      </c>
    </row>
    <row r="980" ht="13.55" customHeight="1">
      <c r="A980" s="51">
        <v>46264</v>
      </c>
      <c r="B980" t="s" s="52">
        <v>22</v>
      </c>
      <c r="C980" t="s" s="52">
        <v>81</v>
      </c>
      <c r="D980" t="s" s="52">
        <v>16</v>
      </c>
      <c r="E980" s="53">
        <v>14</v>
      </c>
      <c r="F980" s="54">
        <v>10454</v>
      </c>
      <c r="G980" s="54" cm="1">
        <f t="array" ref="G980">E980*F980</f>
        <v>146356</v>
      </c>
      <c r="H980" s="53" cm="1">
        <f t="array" ref="H980">YEAR(A980)</f>
        <v>2026</v>
      </c>
      <c r="I980" t="str" s="55" cm="1">
        <f t="array" ref="I980">"Q"&amp;ROUNDUP(MONTH(A980)/3,0)</f>
        <v>Q3</v>
      </c>
      <c r="J980" t="s" s="52">
        <v>70</v>
      </c>
    </row>
    <row r="981" ht="13.55" customHeight="1">
      <c r="A981" s="56">
        <v>46265</v>
      </c>
      <c r="B981" t="s" s="57">
        <v>20</v>
      </c>
      <c r="C981" t="s" s="57">
        <v>78</v>
      </c>
      <c r="D981" t="s" s="57">
        <v>16</v>
      </c>
      <c r="E981" s="58">
        <v>9</v>
      </c>
      <c r="F981" s="59">
        <v>40303</v>
      </c>
      <c r="G981" s="59" cm="1">
        <f t="array" ref="G981">E981*F981</f>
        <v>362727</v>
      </c>
      <c r="H981" s="58" cm="1">
        <f t="array" ref="H981">YEAR(A981)</f>
        <v>2026</v>
      </c>
      <c r="I981" t="str" s="60" cm="1">
        <f t="array" ref="I981">"Q"&amp;ROUNDUP(MONTH(A981)/3,0)</f>
        <v>Q3</v>
      </c>
      <c r="J981" t="s" s="57">
        <v>70</v>
      </c>
    </row>
    <row r="982" ht="13.55" customHeight="1">
      <c r="A982" s="51">
        <v>46266</v>
      </c>
      <c r="B982" t="s" s="52">
        <v>21</v>
      </c>
      <c r="C982" t="s" s="52">
        <v>78</v>
      </c>
      <c r="D982" t="s" s="52">
        <v>16</v>
      </c>
      <c r="E982" s="53">
        <v>4</v>
      </c>
      <c r="F982" s="54">
        <v>66510</v>
      </c>
      <c r="G982" s="54" cm="1">
        <f t="array" ref="G982">E982*F982</f>
        <v>266040</v>
      </c>
      <c r="H982" s="53" cm="1">
        <f t="array" ref="H982">YEAR(A982)</f>
        <v>2026</v>
      </c>
      <c r="I982" t="str" s="55" cm="1">
        <f t="array" ref="I982">"Q"&amp;ROUNDUP(MONTH(A982)/3,0)</f>
        <v>Q3</v>
      </c>
      <c r="J982" t="s" s="52">
        <v>71</v>
      </c>
    </row>
    <row r="983" ht="13.55" customHeight="1">
      <c r="A983" s="56">
        <v>46267</v>
      </c>
      <c r="B983" t="s" s="57">
        <v>22</v>
      </c>
      <c r="C983" t="s" s="57">
        <v>84</v>
      </c>
      <c r="D983" t="s" s="57">
        <v>17</v>
      </c>
      <c r="E983" s="58">
        <v>3</v>
      </c>
      <c r="F983" s="59">
        <v>73136</v>
      </c>
      <c r="G983" s="59" cm="1">
        <f t="array" ref="G983">E983*F983</f>
        <v>219408</v>
      </c>
      <c r="H983" s="58" cm="1">
        <f t="array" ref="H983">YEAR(A983)</f>
        <v>2026</v>
      </c>
      <c r="I983" t="str" s="60" cm="1">
        <f t="array" ref="I983">"Q"&amp;ROUNDUP(MONTH(A983)/3,0)</f>
        <v>Q3</v>
      </c>
      <c r="J983" t="s" s="57">
        <v>71</v>
      </c>
    </row>
    <row r="984" ht="13.55" customHeight="1">
      <c r="A984" s="51">
        <v>46269</v>
      </c>
      <c r="B984" t="s" s="52">
        <v>23</v>
      </c>
      <c r="C984" t="s" s="52">
        <v>78</v>
      </c>
      <c r="D984" t="s" s="52">
        <v>15</v>
      </c>
      <c r="E984" s="53">
        <v>4</v>
      </c>
      <c r="F984" s="54">
        <v>75453</v>
      </c>
      <c r="G984" s="54" cm="1">
        <f t="array" ref="G984">E984*F984</f>
        <v>301812</v>
      </c>
      <c r="H984" s="53" cm="1">
        <f t="array" ref="H984">YEAR(A984)</f>
        <v>2026</v>
      </c>
      <c r="I984" t="str" s="55" cm="1">
        <f t="array" ref="I984">"Q"&amp;ROUNDUP(MONTH(A984)/3,0)</f>
        <v>Q3</v>
      </c>
      <c r="J984" t="s" s="52">
        <v>71</v>
      </c>
    </row>
    <row r="985" ht="13.55" customHeight="1">
      <c r="A985" s="56">
        <v>46272</v>
      </c>
      <c r="B985" t="s" s="57">
        <v>22</v>
      </c>
      <c r="C985" t="s" s="57">
        <v>84</v>
      </c>
      <c r="D985" t="s" s="57">
        <v>18</v>
      </c>
      <c r="E985" s="58">
        <v>7</v>
      </c>
      <c r="F985" s="59">
        <v>57113</v>
      </c>
      <c r="G985" s="59" cm="1">
        <f t="array" ref="G985">E985*F985</f>
        <v>399791</v>
      </c>
      <c r="H985" s="58" cm="1">
        <f t="array" ref="H985">YEAR(A985)</f>
        <v>2026</v>
      </c>
      <c r="I985" t="str" s="60" cm="1">
        <f t="array" ref="I985">"Q"&amp;ROUNDUP(MONTH(A985)/3,0)</f>
        <v>Q3</v>
      </c>
      <c r="J985" t="s" s="57">
        <v>71</v>
      </c>
    </row>
    <row r="986" ht="13.55" customHeight="1">
      <c r="A986" s="51">
        <v>46273</v>
      </c>
      <c r="B986" t="s" s="52">
        <v>22</v>
      </c>
      <c r="C986" t="s" s="52">
        <v>80</v>
      </c>
      <c r="D986" t="s" s="52">
        <v>15</v>
      </c>
      <c r="E986" s="53">
        <v>17</v>
      </c>
      <c r="F986" s="54">
        <v>54683</v>
      </c>
      <c r="G986" s="54" cm="1">
        <f t="array" ref="G986">E986*F986</f>
        <v>929611</v>
      </c>
      <c r="H986" s="53" cm="1">
        <f t="array" ref="H986">YEAR(A986)</f>
        <v>2026</v>
      </c>
      <c r="I986" t="str" s="55" cm="1">
        <f t="array" ref="I986">"Q"&amp;ROUNDUP(MONTH(A986)/3,0)</f>
        <v>Q3</v>
      </c>
      <c r="J986" t="s" s="52">
        <v>71</v>
      </c>
    </row>
    <row r="987" ht="13.55" customHeight="1">
      <c r="A987" s="56">
        <v>46274</v>
      </c>
      <c r="B987" t="s" s="57">
        <v>23</v>
      </c>
      <c r="C987" t="s" s="57">
        <v>80</v>
      </c>
      <c r="D987" t="s" s="57">
        <v>16</v>
      </c>
      <c r="E987" s="58">
        <v>1</v>
      </c>
      <c r="F987" s="59">
        <v>51646</v>
      </c>
      <c r="G987" s="59" cm="1">
        <f t="array" ref="G987">E987*F987</f>
        <v>51646</v>
      </c>
      <c r="H987" s="58" cm="1">
        <f t="array" ref="H987">YEAR(A987)</f>
        <v>2026</v>
      </c>
      <c r="I987" t="str" s="60" cm="1">
        <f t="array" ref="I987">"Q"&amp;ROUNDUP(MONTH(A987)/3,0)</f>
        <v>Q3</v>
      </c>
      <c r="J987" t="s" s="57">
        <v>71</v>
      </c>
    </row>
    <row r="988" ht="13.55" customHeight="1">
      <c r="A988" s="51">
        <v>46277</v>
      </c>
      <c r="B988" t="s" s="52">
        <v>23</v>
      </c>
      <c r="C988" t="s" s="52">
        <v>80</v>
      </c>
      <c r="D988" t="s" s="52">
        <v>18</v>
      </c>
      <c r="E988" s="53">
        <v>2</v>
      </c>
      <c r="F988" s="54">
        <v>39087</v>
      </c>
      <c r="G988" s="54" cm="1">
        <f t="array" ref="G988">E988*F988</f>
        <v>78174</v>
      </c>
      <c r="H988" s="53" cm="1">
        <f t="array" ref="H988">YEAR(A988)</f>
        <v>2026</v>
      </c>
      <c r="I988" t="str" s="55" cm="1">
        <f t="array" ref="I988">"Q"&amp;ROUNDUP(MONTH(A988)/3,0)</f>
        <v>Q3</v>
      </c>
      <c r="J988" t="s" s="52">
        <v>71</v>
      </c>
    </row>
    <row r="989" ht="13.55" customHeight="1">
      <c r="A989" s="56">
        <v>46278</v>
      </c>
      <c r="B989" t="s" s="57">
        <v>22</v>
      </c>
      <c r="C989" t="s" s="57">
        <v>84</v>
      </c>
      <c r="D989" t="s" s="57">
        <v>17</v>
      </c>
      <c r="E989" s="58">
        <v>14</v>
      </c>
      <c r="F989" s="59">
        <v>40529</v>
      </c>
      <c r="G989" s="59" cm="1">
        <f t="array" ref="G989">E989*F989</f>
        <v>567406</v>
      </c>
      <c r="H989" s="58" cm="1">
        <f t="array" ref="H989">YEAR(A989)</f>
        <v>2026</v>
      </c>
      <c r="I989" t="str" s="60" cm="1">
        <f t="array" ref="I989">"Q"&amp;ROUNDUP(MONTH(A989)/3,0)</f>
        <v>Q3</v>
      </c>
      <c r="J989" t="s" s="57">
        <v>71</v>
      </c>
    </row>
    <row r="990" ht="13.55" customHeight="1">
      <c r="A990" s="51">
        <v>46279</v>
      </c>
      <c r="B990" t="s" s="52">
        <v>21</v>
      </c>
      <c r="C990" t="s" s="52">
        <v>80</v>
      </c>
      <c r="D990" t="s" s="52">
        <v>15</v>
      </c>
      <c r="E990" s="53">
        <v>18</v>
      </c>
      <c r="F990" s="54">
        <v>49386</v>
      </c>
      <c r="G990" s="54" cm="1">
        <f t="array" ref="G990">E990*F990</f>
        <v>888948</v>
      </c>
      <c r="H990" s="53" cm="1">
        <f t="array" ref="H990">YEAR(A990)</f>
        <v>2026</v>
      </c>
      <c r="I990" t="str" s="55" cm="1">
        <f t="array" ref="I990">"Q"&amp;ROUNDUP(MONTH(A990)/3,0)</f>
        <v>Q3</v>
      </c>
      <c r="J990" t="s" s="52">
        <v>71</v>
      </c>
    </row>
    <row r="991" ht="13.55" customHeight="1">
      <c r="A991" s="56">
        <v>46279</v>
      </c>
      <c r="B991" t="s" s="57">
        <v>21</v>
      </c>
      <c r="C991" t="s" s="57">
        <v>80</v>
      </c>
      <c r="D991" t="s" s="57">
        <v>15</v>
      </c>
      <c r="E991" s="58">
        <v>10</v>
      </c>
      <c r="F991" s="59">
        <v>15878</v>
      </c>
      <c r="G991" s="59" cm="1">
        <f t="array" ref="G991">E991*F991</f>
        <v>158780</v>
      </c>
      <c r="H991" s="58" cm="1">
        <f t="array" ref="H991">YEAR(A991)</f>
        <v>2026</v>
      </c>
      <c r="I991" t="str" s="60" cm="1">
        <f t="array" ref="I991">"Q"&amp;ROUNDUP(MONTH(A991)/3,0)</f>
        <v>Q3</v>
      </c>
      <c r="J991" t="s" s="57">
        <v>71</v>
      </c>
    </row>
    <row r="992" ht="13.55" customHeight="1">
      <c r="A992" s="51">
        <v>46281</v>
      </c>
      <c r="B992" t="s" s="52">
        <v>23</v>
      </c>
      <c r="C992" t="s" s="52">
        <v>78</v>
      </c>
      <c r="D992" t="s" s="52">
        <v>15</v>
      </c>
      <c r="E992" s="53">
        <v>5</v>
      </c>
      <c r="F992" s="54">
        <v>39693</v>
      </c>
      <c r="G992" s="54" cm="1">
        <f t="array" ref="G992">E992*F992</f>
        <v>198465</v>
      </c>
      <c r="H992" s="53" cm="1">
        <f t="array" ref="H992">YEAR(A992)</f>
        <v>2026</v>
      </c>
      <c r="I992" t="str" s="55" cm="1">
        <f t="array" ref="I992">"Q"&amp;ROUNDUP(MONTH(A992)/3,0)</f>
        <v>Q3</v>
      </c>
      <c r="J992" t="s" s="52">
        <v>71</v>
      </c>
    </row>
    <row r="993" ht="13.55" customHeight="1">
      <c r="A993" s="56">
        <v>46283</v>
      </c>
      <c r="B993" t="s" s="57">
        <v>21</v>
      </c>
      <c r="C993" t="s" s="57">
        <v>84</v>
      </c>
      <c r="D993" t="s" s="57">
        <v>15</v>
      </c>
      <c r="E993" s="58">
        <v>9</v>
      </c>
      <c r="F993" s="59">
        <v>9131</v>
      </c>
      <c r="G993" s="59" cm="1">
        <f t="array" ref="G993">E993*F993</f>
        <v>82179</v>
      </c>
      <c r="H993" s="58" cm="1">
        <f t="array" ref="H993">YEAR(A993)</f>
        <v>2026</v>
      </c>
      <c r="I993" t="str" s="60" cm="1">
        <f t="array" ref="I993">"Q"&amp;ROUNDUP(MONTH(A993)/3,0)</f>
        <v>Q3</v>
      </c>
      <c r="J993" t="s" s="57">
        <v>71</v>
      </c>
    </row>
    <row r="994" ht="13.55" customHeight="1">
      <c r="A994" s="51">
        <v>46284</v>
      </c>
      <c r="B994" t="s" s="52">
        <v>22</v>
      </c>
      <c r="C994" t="s" s="52">
        <v>82</v>
      </c>
      <c r="D994" t="s" s="52">
        <v>17</v>
      </c>
      <c r="E994" s="53">
        <v>9</v>
      </c>
      <c r="F994" s="54">
        <v>59567</v>
      </c>
      <c r="G994" s="54" cm="1">
        <f t="array" ref="G994">E994*F994</f>
        <v>536103</v>
      </c>
      <c r="H994" s="53" cm="1">
        <f t="array" ref="H994">YEAR(A994)</f>
        <v>2026</v>
      </c>
      <c r="I994" t="str" s="55" cm="1">
        <f t="array" ref="I994">"Q"&amp;ROUNDUP(MONTH(A994)/3,0)</f>
        <v>Q3</v>
      </c>
      <c r="J994" t="s" s="52">
        <v>71</v>
      </c>
    </row>
    <row r="995" ht="13.55" customHeight="1">
      <c r="A995" s="56">
        <v>46284</v>
      </c>
      <c r="B995" t="s" s="57">
        <v>20</v>
      </c>
      <c r="C995" t="s" s="57">
        <v>84</v>
      </c>
      <c r="D995" t="s" s="57">
        <v>18</v>
      </c>
      <c r="E995" s="58">
        <v>7</v>
      </c>
      <c r="F995" s="59">
        <v>30613</v>
      </c>
      <c r="G995" s="59" cm="1">
        <f t="array" ref="G995">E995*F995</f>
        <v>214291</v>
      </c>
      <c r="H995" s="58" cm="1">
        <f t="array" ref="H995">YEAR(A995)</f>
        <v>2026</v>
      </c>
      <c r="I995" t="str" s="60" cm="1">
        <f t="array" ref="I995">"Q"&amp;ROUNDUP(MONTH(A995)/3,0)</f>
        <v>Q3</v>
      </c>
      <c r="J995" t="s" s="57">
        <v>71</v>
      </c>
    </row>
    <row r="996" ht="13.55" customHeight="1">
      <c r="A996" s="51">
        <v>46287</v>
      </c>
      <c r="B996" t="s" s="52">
        <v>21</v>
      </c>
      <c r="C996" t="s" s="52">
        <v>80</v>
      </c>
      <c r="D996" t="s" s="52">
        <v>16</v>
      </c>
      <c r="E996" s="53">
        <v>15</v>
      </c>
      <c r="F996" s="54">
        <v>59318</v>
      </c>
      <c r="G996" s="54" cm="1">
        <f t="array" ref="G996">E996*F996</f>
        <v>889770</v>
      </c>
      <c r="H996" s="53" cm="1">
        <f t="array" ref="H996">YEAR(A996)</f>
        <v>2026</v>
      </c>
      <c r="I996" t="str" s="55" cm="1">
        <f t="array" ref="I996">"Q"&amp;ROUNDUP(MONTH(A996)/3,0)</f>
        <v>Q3</v>
      </c>
      <c r="J996" t="s" s="52">
        <v>71</v>
      </c>
    </row>
    <row r="997" ht="13.55" customHeight="1">
      <c r="A997" s="56">
        <v>46287</v>
      </c>
      <c r="B997" t="s" s="57">
        <v>23</v>
      </c>
      <c r="C997" t="s" s="57">
        <v>82</v>
      </c>
      <c r="D997" t="s" s="57">
        <v>17</v>
      </c>
      <c r="E997" s="58">
        <v>13</v>
      </c>
      <c r="F997" s="59">
        <v>20899</v>
      </c>
      <c r="G997" s="59" cm="1">
        <f t="array" ref="G997">E997*F997</f>
        <v>271687</v>
      </c>
      <c r="H997" s="58" cm="1">
        <f t="array" ref="H997">YEAR(A997)</f>
        <v>2026</v>
      </c>
      <c r="I997" t="str" s="60" cm="1">
        <f t="array" ref="I997">"Q"&amp;ROUNDUP(MONTH(A997)/3,0)</f>
        <v>Q3</v>
      </c>
      <c r="J997" t="s" s="57">
        <v>71</v>
      </c>
    </row>
    <row r="998" ht="13.55" customHeight="1">
      <c r="A998" s="51">
        <v>46288</v>
      </c>
      <c r="B998" t="s" s="52">
        <v>23</v>
      </c>
      <c r="C998" t="s" s="52">
        <v>84</v>
      </c>
      <c r="D998" t="s" s="52">
        <v>16</v>
      </c>
      <c r="E998" s="53">
        <v>13</v>
      </c>
      <c r="F998" s="54">
        <v>16676</v>
      </c>
      <c r="G998" s="54" cm="1">
        <f t="array" ref="G998">E998*F998</f>
        <v>216788</v>
      </c>
      <c r="H998" s="53" cm="1">
        <f t="array" ref="H998">YEAR(A998)</f>
        <v>2026</v>
      </c>
      <c r="I998" t="str" s="55" cm="1">
        <f t="array" ref="I998">"Q"&amp;ROUNDUP(MONTH(A998)/3,0)</f>
        <v>Q3</v>
      </c>
      <c r="J998" t="s" s="52">
        <v>71</v>
      </c>
    </row>
    <row r="999" ht="13.55" customHeight="1">
      <c r="A999" s="56">
        <v>46288</v>
      </c>
      <c r="B999" t="s" s="57">
        <v>20</v>
      </c>
      <c r="C999" t="s" s="57">
        <v>80</v>
      </c>
      <c r="D999" t="s" s="57">
        <v>15</v>
      </c>
      <c r="E999" s="58">
        <v>8</v>
      </c>
      <c r="F999" s="59">
        <v>76094</v>
      </c>
      <c r="G999" s="59" cm="1">
        <f t="array" ref="G999">E999*F999</f>
        <v>608752</v>
      </c>
      <c r="H999" s="58" cm="1">
        <f t="array" ref="H999">YEAR(A999)</f>
        <v>2026</v>
      </c>
      <c r="I999" t="str" s="60" cm="1">
        <f t="array" ref="I999">"Q"&amp;ROUNDUP(MONTH(A999)/3,0)</f>
        <v>Q3</v>
      </c>
      <c r="J999" t="s" s="57">
        <v>71</v>
      </c>
    </row>
    <row r="1000" ht="13.55" customHeight="1">
      <c r="A1000" s="51">
        <v>46290</v>
      </c>
      <c r="B1000" t="s" s="52">
        <v>23</v>
      </c>
      <c r="C1000" t="s" s="52">
        <v>84</v>
      </c>
      <c r="D1000" t="s" s="52">
        <v>15</v>
      </c>
      <c r="E1000" s="53">
        <v>12</v>
      </c>
      <c r="F1000" s="54">
        <v>30832</v>
      </c>
      <c r="G1000" s="54" cm="1">
        <f t="array" ref="G1000">E1000*F1000</f>
        <v>369984</v>
      </c>
      <c r="H1000" s="53" cm="1">
        <f t="array" ref="H1000">YEAR(A1000)</f>
        <v>2026</v>
      </c>
      <c r="I1000" t="str" s="55" cm="1">
        <f t="array" ref="I1000">"Q"&amp;ROUNDUP(MONTH(A1000)/3,0)</f>
        <v>Q3</v>
      </c>
      <c r="J1000" t="s" s="52">
        <v>71</v>
      </c>
    </row>
    <row r="1001" ht="13.55" customHeight="1">
      <c r="A1001" s="56">
        <v>46290</v>
      </c>
      <c r="B1001" t="s" s="57">
        <v>23</v>
      </c>
      <c r="C1001" t="s" s="57">
        <v>82</v>
      </c>
      <c r="D1001" t="s" s="57">
        <v>16</v>
      </c>
      <c r="E1001" s="58">
        <v>3</v>
      </c>
      <c r="F1001" s="59">
        <v>59353</v>
      </c>
      <c r="G1001" s="59" cm="1">
        <f t="array" ref="G1001">E1001*F1001</f>
        <v>178059</v>
      </c>
      <c r="H1001" s="58" cm="1">
        <f t="array" ref="H1001">YEAR(A1001)</f>
        <v>2026</v>
      </c>
      <c r="I1001" t="str" s="60" cm="1">
        <f t="array" ref="I1001">"Q"&amp;ROUNDUP(MONTH(A1001)/3,0)</f>
        <v>Q3</v>
      </c>
      <c r="J1001" t="s" s="57">
        <v>71</v>
      </c>
    </row>
  </sheetData>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U134"/>
  <sheetViews>
    <sheetView workbookViewId="0" showGridLines="0" defaultGridColor="1"/>
  </sheetViews>
  <sheetFormatPr defaultColWidth="8.66667" defaultRowHeight="15" customHeight="1" outlineLevelRow="0" outlineLevelCol="0"/>
  <cols>
    <col min="1" max="1" width="8" style="61" customWidth="1"/>
    <col min="2" max="3" width="16" style="61" customWidth="1"/>
    <col min="4" max="4" width="12" style="61" customWidth="1"/>
    <col min="5" max="5" width="13" style="61" customWidth="1"/>
    <col min="6" max="6" width="20" style="61" customWidth="1"/>
    <col min="7" max="7" width="15" style="61" customWidth="1"/>
    <col min="8" max="9" width="8.67188" style="61" customWidth="1"/>
    <col min="10" max="14" hidden="1" width="8.66667" style="61" customWidth="1"/>
    <col min="15" max="21" width="8.67188" style="61" customWidth="1"/>
    <col min="22" max="16384" width="8.67188" style="61" customWidth="1"/>
  </cols>
  <sheetData>
    <row r="1" ht="19.45" customHeight="1">
      <c r="A1" t="s" s="62">
        <v>88</v>
      </c>
      <c r="B1" s="63"/>
      <c r="C1" s="63"/>
      <c r="D1" s="63"/>
      <c r="E1" s="63"/>
      <c r="F1" s="63"/>
      <c r="G1" s="63"/>
      <c r="H1" s="64"/>
      <c r="I1" s="64"/>
      <c r="J1" s="65"/>
      <c r="K1" s="65"/>
      <c r="L1" s="65"/>
      <c r="M1" s="65"/>
      <c r="N1" s="65"/>
      <c r="O1" s="64"/>
      <c r="P1" s="64"/>
      <c r="Q1" s="64"/>
      <c r="R1" s="64"/>
      <c r="S1" s="64"/>
      <c r="T1" s="64"/>
      <c r="U1" s="64"/>
    </row>
    <row r="2" ht="13.75" customHeight="1">
      <c r="A2" t="s" s="66">
        <v>89</v>
      </c>
      <c r="B2" s="67"/>
      <c r="C2" s="67"/>
      <c r="D2" s="67"/>
      <c r="E2" s="67"/>
      <c r="F2" s="67"/>
      <c r="G2" s="67"/>
      <c r="H2" s="64"/>
      <c r="I2" s="64"/>
      <c r="J2" s="65"/>
      <c r="K2" s="65"/>
      <c r="L2" s="65"/>
      <c r="M2" s="65"/>
      <c r="N2" s="65"/>
      <c r="O2" s="64"/>
      <c r="P2" s="64"/>
      <c r="Q2" s="64"/>
      <c r="R2" s="64"/>
      <c r="S2" s="64"/>
      <c r="T2" s="64"/>
      <c r="U2" s="64"/>
    </row>
    <row r="3" ht="13.55" customHeight="1">
      <c r="A3" s="68"/>
      <c r="B3" s="68"/>
      <c r="C3" s="68"/>
      <c r="D3" s="68"/>
      <c r="E3" s="68"/>
      <c r="F3" s="68"/>
      <c r="G3" s="68"/>
      <c r="H3" s="64"/>
      <c r="I3" s="64"/>
      <c r="J3" t="s" s="69">
        <v>90</v>
      </c>
      <c r="K3" s="65"/>
      <c r="L3" s="65"/>
      <c r="M3" s="65"/>
      <c r="N3" s="65"/>
      <c r="O3" s="64"/>
      <c r="P3" s="64"/>
      <c r="Q3" s="64"/>
      <c r="R3" s="64"/>
      <c r="S3" s="64"/>
      <c r="T3" s="64"/>
      <c r="U3" s="64"/>
    </row>
    <row r="4" ht="16.1" customHeight="1">
      <c r="A4" t="s" s="70">
        <v>91</v>
      </c>
      <c r="B4" s="71"/>
      <c r="C4" s="71"/>
      <c r="D4" s="71"/>
      <c r="E4" s="71"/>
      <c r="F4" s="71"/>
      <c r="G4" s="71"/>
      <c r="H4" s="72"/>
      <c r="I4" s="64"/>
      <c r="J4" t="s" s="73">
        <v>73</v>
      </c>
      <c r="K4" t="s" s="73">
        <v>14</v>
      </c>
      <c r="L4" t="s" s="73">
        <v>92</v>
      </c>
      <c r="M4" t="s" s="73">
        <v>93</v>
      </c>
      <c r="N4" t="s" s="73">
        <v>94</v>
      </c>
      <c r="O4" s="64"/>
      <c r="P4" s="64"/>
      <c r="Q4" s="64"/>
      <c r="R4" s="64"/>
      <c r="S4" s="64"/>
      <c r="T4" s="64"/>
      <c r="U4" s="64"/>
    </row>
    <row r="5" ht="13.55" customHeight="1">
      <c r="A5" t="s" s="50">
        <v>32</v>
      </c>
      <c r="B5" t="s" s="50">
        <v>73</v>
      </c>
      <c r="C5" t="s" s="50">
        <v>34</v>
      </c>
      <c r="D5" t="s" s="50">
        <v>74</v>
      </c>
      <c r="E5" t="s" s="50">
        <v>93</v>
      </c>
      <c r="F5" t="s" s="50">
        <v>95</v>
      </c>
      <c r="G5" t="s" s="50">
        <v>96</v>
      </c>
      <c r="H5" s="74"/>
      <c r="I5" s="64"/>
      <c r="J5" t="s" s="75">
        <v>78</v>
      </c>
      <c r="K5" s="76" cm="1">
        <f t="array" ref="K5">SUMIF('Cleaned Data'!C1:C1001,J5,'Cleaned Data'!G1:G1001)</f>
        <v>80332014</v>
      </c>
      <c r="L5" s="76" cm="1">
        <f t="array" ref="L5">SUMIF('Cleaned Data'!C1:C1001,J5,'Cleaned Data'!E1:E1001)</f>
        <v>1836</v>
      </c>
      <c r="M5" s="76" cm="1">
        <f t="array" ref="M5">COUNTIF('Cleaned Data'!C1:C1001,J5)</f>
        <v>173</v>
      </c>
      <c r="N5" s="76" cm="1">
        <f t="array" ref="N5">K5/M5</f>
        <v>464346.901734104</v>
      </c>
      <c r="O5" s="64"/>
      <c r="P5" s="64"/>
      <c r="Q5" s="64"/>
      <c r="R5" s="64"/>
      <c r="S5" s="64"/>
      <c r="T5" s="64"/>
      <c r="U5" s="64"/>
    </row>
    <row r="6" ht="13.55" customHeight="1">
      <c r="A6" s="77">
        <v>1</v>
      </c>
      <c r="B6" t="str" s="78" cm="1">
        <f t="array" ref="B6">INDEX($J$5:$J$10,MATCH(C6,$K$5:$K$10,0))</f>
        <v>Priya</v>
      </c>
      <c r="C6" s="79" cm="1">
        <f t="array" ref="C6">LARGE($K$5:$K$10,A6)</f>
        <v>80332014</v>
      </c>
      <c r="D6" s="77" cm="1">
        <f t="array" ref="D6">INDEX($L$5:$L$10,MATCH(C6,$K$5:$K$10,0))</f>
        <v>1836</v>
      </c>
      <c r="E6" s="77" cm="1">
        <f t="array" ref="E6">INDEX($M$5:$M$10,MATCH(C6,$K$5:$K$10,0))</f>
        <v>173</v>
      </c>
      <c r="F6" s="79" cm="1">
        <f t="array" ref="F6">C6/E6</f>
        <v>464346.901734104</v>
      </c>
      <c r="G6" s="80" cm="1">
        <f t="array" ref="G6">C6/SUM($K$5:$K$10)</f>
        <v>0.188812610344812</v>
      </c>
      <c r="H6" s="74"/>
      <c r="I6" s="64"/>
      <c r="J6" t="s" s="75">
        <v>80</v>
      </c>
      <c r="K6" s="76" cm="1">
        <f t="array" ref="K6">SUMIF('Cleaned Data'!C1:C1001,J6,'Cleaned Data'!G1:G1001)</f>
        <v>73021096</v>
      </c>
      <c r="L6" s="76" cm="1">
        <f t="array" ref="L6">SUMIF('Cleaned Data'!C1:C1001,J6,'Cleaned Data'!E1:E1001)</f>
        <v>1679</v>
      </c>
      <c r="M6" s="76" cm="1">
        <f t="array" ref="M6">COUNTIF('Cleaned Data'!C1:C1001,J6)</f>
        <v>172</v>
      </c>
      <c r="N6" s="76" cm="1">
        <f t="array" ref="N6">K6/M6</f>
        <v>424541.255813953</v>
      </c>
      <c r="O6" s="64"/>
      <c r="P6" s="64"/>
      <c r="Q6" s="64"/>
      <c r="R6" s="64"/>
      <c r="S6" s="64"/>
      <c r="T6" s="64"/>
      <c r="U6" s="64"/>
    </row>
    <row r="7" ht="13.55" customHeight="1">
      <c r="A7" s="81">
        <v>2</v>
      </c>
      <c r="B7" t="str" s="82" cm="1">
        <f t="array" ref="B7">INDEX($J$5:$J$10,MATCH(C7,$K$5:$K$10,0))</f>
        <v>Karan</v>
      </c>
      <c r="C7" s="83" cm="1">
        <f t="array" ref="C7">LARGE($K$5:$K$10,A7)</f>
        <v>73021096</v>
      </c>
      <c r="D7" s="81" cm="1">
        <f t="array" ref="D7">INDEX($L$5:$L$10,MATCH(C7,$K$5:$K$10,0))</f>
        <v>1679</v>
      </c>
      <c r="E7" s="81" cm="1">
        <f t="array" ref="E7">INDEX($M$5:$M$10,MATCH(C7,$K$5:$K$10,0))</f>
        <v>172</v>
      </c>
      <c r="F7" s="83" cm="1">
        <f t="array" ref="F7">C7/E7</f>
        <v>424541.255813953</v>
      </c>
      <c r="G7" s="84" cm="1">
        <f t="array" ref="G7">C7/SUM($K$5:$K$10)</f>
        <v>0.171629006413298</v>
      </c>
      <c r="H7" s="74"/>
      <c r="I7" s="64"/>
      <c r="J7" t="s" s="75">
        <v>81</v>
      </c>
      <c r="K7" s="76" cm="1">
        <f t="array" ref="K7">SUMIF('Cleaned Data'!C1:C1001,J7,'Cleaned Data'!G1:G1001)</f>
        <v>67691309</v>
      </c>
      <c r="L7" s="76" cm="1">
        <f t="array" ref="L7">SUMIF('Cleaned Data'!C1:C1001,J7,'Cleaned Data'!E1:E1001)</f>
        <v>1705</v>
      </c>
      <c r="M7" s="76" cm="1">
        <f t="array" ref="M7">COUNTIF('Cleaned Data'!C1:C1001,J7)</f>
        <v>164</v>
      </c>
      <c r="N7" s="76" cm="1">
        <f t="array" ref="N7">K7/M7</f>
        <v>412751.884146341</v>
      </c>
      <c r="O7" s="64"/>
      <c r="P7" s="64"/>
      <c r="Q7" s="64"/>
      <c r="R7" s="64"/>
      <c r="S7" s="64"/>
      <c r="T7" s="64"/>
      <c r="U7" s="64"/>
    </row>
    <row r="8" ht="13.55" customHeight="1">
      <c r="A8" s="77">
        <v>3</v>
      </c>
      <c r="B8" t="str" s="78" cm="1">
        <f t="array" ref="B8">INDEX($J$5:$J$10,MATCH(C8,$K$5:$K$10,0))</f>
        <v>Sneha</v>
      </c>
      <c r="C8" s="79" cm="1">
        <f t="array" ref="C8">LARGE($K$5:$K$10,A8)</f>
        <v>72443697</v>
      </c>
      <c r="D8" s="77" cm="1">
        <f t="array" ref="D8">INDEX($L$5:$L$10,MATCH(C8,$K$5:$K$10,0))</f>
        <v>1739</v>
      </c>
      <c r="E8" s="77" cm="1">
        <f t="array" ref="E8">INDEX($M$5:$M$10,MATCH(C8,$K$5:$K$10,0))</f>
        <v>178</v>
      </c>
      <c r="F8" s="79" cm="1">
        <f t="array" ref="F8">C8/E8</f>
        <v>406987.061797753</v>
      </c>
      <c r="G8" s="80" cm="1">
        <f t="array" ref="G8">C8/SUM($K$5:$K$10)</f>
        <v>0.170271886045315</v>
      </c>
      <c r="H8" s="74"/>
      <c r="I8" s="64"/>
      <c r="J8" t="s" s="75">
        <v>82</v>
      </c>
      <c r="K8" s="76" cm="1">
        <f t="array" ref="K8">SUMIF('Cleaned Data'!C1:C1001,J8,'Cleaned Data'!G1:G1001)</f>
        <v>68554411</v>
      </c>
      <c r="L8" s="76" cm="1">
        <f t="array" ref="L8">SUMIF('Cleaned Data'!C1:C1001,J8,'Cleaned Data'!E1:E1001)</f>
        <v>1641</v>
      </c>
      <c r="M8" s="76" cm="1">
        <f t="array" ref="M8">COUNTIF('Cleaned Data'!C1:C1001,J8)</f>
        <v>164</v>
      </c>
      <c r="N8" s="76" cm="1">
        <f t="array" ref="N8">K8/M8</f>
        <v>418014.701219512</v>
      </c>
      <c r="O8" s="64"/>
      <c r="P8" s="64"/>
      <c r="Q8" s="64"/>
      <c r="R8" s="64"/>
      <c r="S8" s="64"/>
      <c r="T8" s="64"/>
      <c r="U8" s="64"/>
    </row>
    <row r="9" ht="13.55" customHeight="1">
      <c r="A9" s="81">
        <v>4</v>
      </c>
      <c r="B9" t="str" s="82" cm="1">
        <f t="array" ref="B9">INDEX($J$5:$J$10,MATCH(C9,$K$5:$K$10,0))</f>
        <v>Neha</v>
      </c>
      <c r="C9" s="83" cm="1">
        <f t="array" ref="C9">LARGE($K$5:$K$10,A9)</f>
        <v>68554411</v>
      </c>
      <c r="D9" s="81" cm="1">
        <f t="array" ref="D9">INDEX($L$5:$L$10,MATCH(C9,$K$5:$K$10,0))</f>
        <v>1641</v>
      </c>
      <c r="E9" s="81" cm="1">
        <f t="array" ref="E9">INDEX($M$5:$M$10,MATCH(C9,$K$5:$K$10,0))</f>
        <v>164</v>
      </c>
      <c r="F9" s="83" cm="1">
        <f t="array" ref="F9">C9/E9</f>
        <v>418014.701219512</v>
      </c>
      <c r="G9" s="84" cm="1">
        <f t="array" ref="G9">C9/SUM($K$5:$K$10)</f>
        <v>0.161130496386673</v>
      </c>
      <c r="H9" s="74"/>
      <c r="I9" s="64"/>
      <c r="J9" t="s" s="75">
        <v>83</v>
      </c>
      <c r="K9" s="76" cm="1">
        <f t="array" ref="K9">SUMIF('Cleaned Data'!C1:C1001,J9,'Cleaned Data'!G1:G1001)</f>
        <v>72443697</v>
      </c>
      <c r="L9" s="76" cm="1">
        <f t="array" ref="L9">SUMIF('Cleaned Data'!C1:C1001,J9,'Cleaned Data'!E1:E1001)</f>
        <v>1739</v>
      </c>
      <c r="M9" s="76" cm="1">
        <f t="array" ref="M9">COUNTIF('Cleaned Data'!C1:C1001,J9)</f>
        <v>178</v>
      </c>
      <c r="N9" s="76" cm="1">
        <f t="array" ref="N9">K9/M9</f>
        <v>406987.061797753</v>
      </c>
      <c r="O9" s="64"/>
      <c r="P9" s="64"/>
      <c r="Q9" s="64"/>
      <c r="R9" s="64"/>
      <c r="S9" s="64"/>
      <c r="T9" s="64"/>
      <c r="U9" s="64"/>
    </row>
    <row r="10" ht="13.55" customHeight="1">
      <c r="A10" s="77">
        <v>5</v>
      </c>
      <c r="B10" t="str" s="78" cm="1">
        <f t="array" ref="B10">INDEX($J$5:$J$10,MATCH(C10,$K$5:$K$10,0))</f>
        <v>Amit</v>
      </c>
      <c r="C10" s="79" cm="1">
        <f t="array" ref="C10">LARGE($K$5:$K$10,A10)</f>
        <v>67691309</v>
      </c>
      <c r="D10" s="77" cm="1">
        <f t="array" ref="D10">INDEX($L$5:$L$10,MATCH(C10,$K$5:$K$10,0))</f>
        <v>1705</v>
      </c>
      <c r="E10" s="77" cm="1">
        <f t="array" ref="E10">INDEX($M$5:$M$10,MATCH(C10,$K$5:$K$10,0))</f>
        <v>164</v>
      </c>
      <c r="F10" s="79" cm="1">
        <f t="array" ref="F10">C10/E10</f>
        <v>412751.884146341</v>
      </c>
      <c r="G10" s="80" cm="1">
        <f t="array" ref="G10">C10/SUM($K$5:$K$10)</f>
        <v>0.159101858817424</v>
      </c>
      <c r="H10" s="74"/>
      <c r="I10" s="64"/>
      <c r="J10" t="s" s="75">
        <v>84</v>
      </c>
      <c r="K10" s="76" cm="1">
        <f t="array" ref="K10">SUMIF('Cleaned Data'!C1:C1001,J10,'Cleaned Data'!G1:G1001)</f>
        <v>63416418</v>
      </c>
      <c r="L10" s="76" cm="1">
        <f t="array" ref="L10">SUMIF('Cleaned Data'!C1:C1001,J10,'Cleaned Data'!E1:E1001)</f>
        <v>1503</v>
      </c>
      <c r="M10" s="76" cm="1">
        <f t="array" ref="M10">COUNTIF('Cleaned Data'!C1:C1001,J10)</f>
        <v>149</v>
      </c>
      <c r="N10" s="76" cm="1">
        <f t="array" ref="N10">K10/M10</f>
        <v>425613.543624161</v>
      </c>
      <c r="O10" s="64"/>
      <c r="P10" s="64"/>
      <c r="Q10" s="64"/>
      <c r="R10" s="64"/>
      <c r="S10" s="64"/>
      <c r="T10" s="64"/>
      <c r="U10" s="64"/>
    </row>
    <row r="11" ht="13.55" customHeight="1">
      <c r="A11" s="85"/>
      <c r="B11" s="85"/>
      <c r="C11" s="85"/>
      <c r="D11" s="85"/>
      <c r="E11" s="85"/>
      <c r="F11" s="85"/>
      <c r="G11" s="85"/>
      <c r="H11" s="64"/>
      <c r="I11" s="64"/>
      <c r="J11" s="65"/>
      <c r="K11" s="65"/>
      <c r="L11" s="65"/>
      <c r="M11" s="65"/>
      <c r="N11" s="65"/>
      <c r="O11" s="64"/>
      <c r="P11" s="64"/>
      <c r="Q11" s="64"/>
      <c r="R11" s="64"/>
      <c r="S11" s="64"/>
      <c r="T11" s="64"/>
      <c r="U11" s="64"/>
    </row>
    <row r="12" ht="16.1" customHeight="1">
      <c r="A12" t="s" s="70">
        <v>97</v>
      </c>
      <c r="B12" s="71"/>
      <c r="C12" s="71"/>
      <c r="D12" s="71"/>
      <c r="E12" s="71"/>
      <c r="F12" s="71"/>
      <c r="G12" s="71"/>
      <c r="H12" s="72"/>
      <c r="I12" s="64"/>
      <c r="J12" t="s" s="69">
        <v>98</v>
      </c>
      <c r="K12" s="65"/>
      <c r="L12" s="65"/>
      <c r="M12" s="65"/>
      <c r="N12" s="65"/>
      <c r="O12" s="64"/>
      <c r="P12" s="64"/>
      <c r="Q12" s="64"/>
      <c r="R12" s="64"/>
      <c r="S12" s="64"/>
      <c r="T12" s="64"/>
      <c r="U12" s="64"/>
    </row>
    <row r="13" ht="13.55" customHeight="1">
      <c r="A13" t="s" s="50">
        <v>32</v>
      </c>
      <c r="B13" t="s" s="50">
        <v>13</v>
      </c>
      <c r="C13" t="s" s="50">
        <v>34</v>
      </c>
      <c r="D13" t="s" s="50">
        <v>74</v>
      </c>
      <c r="E13" t="s" s="50">
        <v>93</v>
      </c>
      <c r="F13" t="s" s="50">
        <v>95</v>
      </c>
      <c r="G13" t="s" s="50">
        <v>96</v>
      </c>
      <c r="H13" s="74"/>
      <c r="I13" s="64"/>
      <c r="J13" t="s" s="73">
        <v>13</v>
      </c>
      <c r="K13" t="s" s="73">
        <v>14</v>
      </c>
      <c r="L13" t="s" s="73">
        <v>92</v>
      </c>
      <c r="M13" t="s" s="73">
        <v>93</v>
      </c>
      <c r="N13" t="s" s="73">
        <v>94</v>
      </c>
      <c r="O13" s="64"/>
      <c r="P13" s="64"/>
      <c r="Q13" s="64"/>
      <c r="R13" s="64"/>
      <c r="S13" s="64"/>
      <c r="T13" s="64"/>
      <c r="U13" s="64"/>
    </row>
    <row r="14" ht="13.55" customHeight="1">
      <c r="A14" s="77">
        <v>1</v>
      </c>
      <c r="B14" t="str" s="78" cm="1">
        <f t="array" ref="B14">INDEX($J$14:$J$17,MATCH(C14,$K$14:$K$17,0))</f>
        <v>Accessory</v>
      </c>
      <c r="C14" s="79" cm="1">
        <f t="array" ref="C14">LARGE($K$14:$K$17,A14)</f>
        <v>110115331</v>
      </c>
      <c r="D14" s="77" cm="1">
        <f t="array" ref="D14">INDEX($L$14:$L$17,MATCH(C14,$K$14:$K$17,0))</f>
        <v>2587</v>
      </c>
      <c r="E14" s="77" cm="1">
        <f t="array" ref="E14">INDEX($M$14:$M$17,MATCH(C14,$K$14:$K$17,0))</f>
        <v>272</v>
      </c>
      <c r="F14" s="79" cm="1">
        <f t="array" ref="F14">C14/E14</f>
        <v>404835.775735294</v>
      </c>
      <c r="G14" s="80" cm="1">
        <f t="array" ref="G14">C14/SUM($K$14:$K$17)</f>
        <v>0.258815409322279</v>
      </c>
      <c r="H14" s="74"/>
      <c r="I14" s="64"/>
      <c r="J14" t="s" s="75">
        <v>15</v>
      </c>
      <c r="K14" s="76" cm="1">
        <f t="array" ref="K14">SUMIF('Cleaned Data'!D1:D1001,J14,'Cleaned Data'!G1:G1001)</f>
        <v>108974946</v>
      </c>
      <c r="L14" s="76" cm="1">
        <f t="array" ref="L14">SUMIF('Cleaned Data'!D1:D1001,J14,'Cleaned Data'!E1:E1001)</f>
        <v>2700</v>
      </c>
      <c r="M14" s="76" cm="1">
        <f t="array" ref="M14">COUNTIF('Cleaned Data'!D1:D1001,J14)</f>
        <v>254</v>
      </c>
      <c r="N14" s="76" cm="1">
        <f t="array" ref="N14">K14/M14</f>
        <v>429035.220472441</v>
      </c>
      <c r="O14" s="64"/>
      <c r="P14" s="64"/>
      <c r="Q14" s="64"/>
      <c r="R14" s="64"/>
      <c r="S14" s="64"/>
      <c r="T14" s="64"/>
      <c r="U14" s="64"/>
    </row>
    <row r="15" ht="13.55" customHeight="1">
      <c r="A15" s="81">
        <v>2</v>
      </c>
      <c r="B15" t="str" s="82" cm="1">
        <f t="array" ref="B15">INDEX($J$14:$J$17,MATCH(C15,$K$14:$K$17,0))</f>
        <v>Phone</v>
      </c>
      <c r="C15" s="83" cm="1">
        <f t="array" ref="C15">LARGE($K$14:$K$17,A15)</f>
        <v>108974946</v>
      </c>
      <c r="D15" s="81" cm="1">
        <f t="array" ref="D15">INDEX($L$14:$L$17,MATCH(C15,$K$14:$K$17,0))</f>
        <v>2700</v>
      </c>
      <c r="E15" s="81" cm="1">
        <f t="array" ref="E15">INDEX($M$14:$M$17,MATCH(C15,$K$14:$K$17,0))</f>
        <v>254</v>
      </c>
      <c r="F15" s="83" cm="1">
        <f t="array" ref="F15">C15/E15</f>
        <v>429035.220472441</v>
      </c>
      <c r="G15" s="84" cm="1">
        <f t="array" ref="G15">C15/SUM($K$14:$K$17)</f>
        <v>0.256135044945406</v>
      </c>
      <c r="H15" s="74"/>
      <c r="I15" s="64"/>
      <c r="J15" t="s" s="75">
        <v>16</v>
      </c>
      <c r="K15" s="76" cm="1">
        <f t="array" ref="K15">SUMIF('Cleaned Data'!D1:D1001,J15,'Cleaned Data'!G1:G1001)</f>
        <v>110115331</v>
      </c>
      <c r="L15" s="76" cm="1">
        <f t="array" ref="L15">SUMIF('Cleaned Data'!D1:D1001,J15,'Cleaned Data'!E1:E1001)</f>
        <v>2587</v>
      </c>
      <c r="M15" s="76" cm="1">
        <f t="array" ref="M15">COUNTIF('Cleaned Data'!D1:D1001,J15)</f>
        <v>272</v>
      </c>
      <c r="N15" s="76" cm="1">
        <f t="array" ref="N15">K15/M15</f>
        <v>404835.775735294</v>
      </c>
      <c r="O15" s="64"/>
      <c r="P15" s="64"/>
      <c r="Q15" s="64"/>
      <c r="R15" s="64"/>
      <c r="S15" s="64"/>
      <c r="T15" s="64"/>
      <c r="U15" s="64"/>
    </row>
    <row r="16" ht="13.55" customHeight="1">
      <c r="A16" s="77">
        <v>3</v>
      </c>
      <c r="B16" t="str" s="78" cm="1">
        <f t="array" ref="B16">INDEX($J$14:$J$17,MATCH(C16,$K$14:$K$17,0))</f>
        <v>Tablet</v>
      </c>
      <c r="C16" s="79" cm="1">
        <f t="array" ref="C16">LARGE($K$14:$K$17,A16)</f>
        <v>104126322</v>
      </c>
      <c r="D16" s="77" cm="1">
        <f t="array" ref="D16">INDEX($L$14:$L$17,MATCH(C16,$K$14:$K$17,0))</f>
        <v>2411</v>
      </c>
      <c r="E16" s="77" cm="1">
        <f t="array" ref="E16">INDEX($M$14:$M$17,MATCH(C16,$K$14:$K$17,0))</f>
        <v>227</v>
      </c>
      <c r="F16" s="79" cm="1">
        <f t="array" ref="F16">C16/E16</f>
        <v>458706.264317181</v>
      </c>
      <c r="G16" s="80" cm="1">
        <f t="array" ref="G16">C16/SUM($K$14:$K$17)</f>
        <v>0.244738824330042</v>
      </c>
      <c r="H16" s="74"/>
      <c r="I16" s="64"/>
      <c r="J16" t="s" s="75">
        <v>17</v>
      </c>
      <c r="K16" s="76" cm="1">
        <f t="array" ref="K16">SUMIF('Cleaned Data'!D1:D1001,J16,'Cleaned Data'!G1:G1001)</f>
        <v>102242346</v>
      </c>
      <c r="L16" s="76" cm="1">
        <f t="array" ref="L16">SUMIF('Cleaned Data'!D1:D1001,J16,'Cleaned Data'!E1:E1001)</f>
        <v>2405</v>
      </c>
      <c r="M16" s="76" cm="1">
        <f t="array" ref="M16">COUNTIF('Cleaned Data'!D1:D1001,J16)</f>
        <v>247</v>
      </c>
      <c r="N16" s="76" cm="1">
        <f t="array" ref="N16">K16/M16</f>
        <v>413936.623481781</v>
      </c>
      <c r="O16" s="64"/>
      <c r="P16" s="64"/>
      <c r="Q16" s="64"/>
      <c r="R16" s="64"/>
      <c r="S16" s="64"/>
      <c r="T16" s="64"/>
      <c r="U16" s="64"/>
    </row>
    <row r="17" ht="13.55" customHeight="1">
      <c r="A17" s="81">
        <v>4</v>
      </c>
      <c r="B17" t="str" s="82" cm="1">
        <f t="array" ref="B17">INDEX($J$14:$J$17,MATCH(C17,$K$14:$K$17,0))</f>
        <v>Laptop</v>
      </c>
      <c r="C17" s="83" cm="1">
        <f t="array" ref="C17">LARGE($K$14:$K$17,A17)</f>
        <v>102242346</v>
      </c>
      <c r="D17" s="81" cm="1">
        <f t="array" ref="D17">INDEX($L$14:$L$17,MATCH(C17,$K$14:$K$17,0))</f>
        <v>2405</v>
      </c>
      <c r="E17" s="81" cm="1">
        <f t="array" ref="E17">INDEX($M$14:$M$17,MATCH(C17,$K$14:$K$17,0))</f>
        <v>247</v>
      </c>
      <c r="F17" s="83" cm="1">
        <f t="array" ref="F17">C17/E17</f>
        <v>413936.623481781</v>
      </c>
      <c r="G17" s="84" cm="1">
        <f t="array" ref="G17">C17/SUM($K$14:$K$17)</f>
        <v>0.240310721402273</v>
      </c>
      <c r="H17" s="74"/>
      <c r="I17" s="64"/>
      <c r="J17" t="s" s="75">
        <v>18</v>
      </c>
      <c r="K17" s="76" cm="1">
        <f t="array" ref="K17">SUMIF('Cleaned Data'!D1:D1001,J17,'Cleaned Data'!G1:G1001)</f>
        <v>104126322</v>
      </c>
      <c r="L17" s="76" cm="1">
        <f t="array" ref="L17">SUMIF('Cleaned Data'!D1:D1001,J17,'Cleaned Data'!E1:E1001)</f>
        <v>2411</v>
      </c>
      <c r="M17" s="76" cm="1">
        <f t="array" ref="M17">COUNTIF('Cleaned Data'!D1:D1001,J17)</f>
        <v>227</v>
      </c>
      <c r="N17" s="76" cm="1">
        <f t="array" ref="N17">K17/M17</f>
        <v>458706.264317181</v>
      </c>
      <c r="O17" s="64"/>
      <c r="P17" s="64"/>
      <c r="Q17" s="64"/>
      <c r="R17" s="64"/>
      <c r="S17" s="64"/>
      <c r="T17" s="64"/>
      <c r="U17" s="64"/>
    </row>
    <row r="18" ht="13.55" customHeight="1">
      <c r="A18" s="86"/>
      <c r="B18" s="86"/>
      <c r="C18" s="86"/>
      <c r="D18" s="86"/>
      <c r="E18" s="86"/>
      <c r="F18" s="86"/>
      <c r="G18" s="86"/>
      <c r="H18" s="64"/>
      <c r="I18" s="64"/>
      <c r="J18" s="65"/>
      <c r="K18" s="65"/>
      <c r="L18" s="65"/>
      <c r="M18" s="65"/>
      <c r="N18" s="65"/>
      <c r="O18" s="64"/>
      <c r="P18" s="64"/>
      <c r="Q18" s="64"/>
      <c r="R18" s="64"/>
      <c r="S18" s="64"/>
      <c r="T18" s="64"/>
      <c r="U18" s="64"/>
    </row>
    <row r="19" ht="13.55" customHeight="1">
      <c r="A19" s="65"/>
      <c r="B19" s="65"/>
      <c r="C19" s="65"/>
      <c r="D19" s="65"/>
      <c r="E19" s="65"/>
      <c r="F19" s="65"/>
      <c r="G19" s="65"/>
      <c r="H19" s="64"/>
      <c r="I19" s="64"/>
      <c r="J19" s="65"/>
      <c r="K19" s="65"/>
      <c r="L19" s="65"/>
      <c r="M19" s="65"/>
      <c r="N19" s="65"/>
      <c r="O19" s="64"/>
      <c r="P19" s="64"/>
      <c r="Q19" s="64"/>
      <c r="R19" s="64"/>
      <c r="S19" s="64"/>
      <c r="T19" s="64"/>
      <c r="U19" s="64"/>
    </row>
    <row r="20" ht="13.55" customHeight="1">
      <c r="A20" s="65"/>
      <c r="B20" s="65"/>
      <c r="C20" s="65"/>
      <c r="D20" s="65"/>
      <c r="E20" s="65"/>
      <c r="F20" s="65"/>
      <c r="G20" s="65"/>
      <c r="H20" s="64"/>
      <c r="I20" s="64"/>
      <c r="J20" s="65"/>
      <c r="K20" s="65"/>
      <c r="L20" s="65"/>
      <c r="M20" s="65"/>
      <c r="N20" s="65"/>
      <c r="O20" s="64"/>
      <c r="P20" s="64"/>
      <c r="Q20" s="64"/>
      <c r="R20" s="64"/>
      <c r="S20" s="64"/>
      <c r="T20" s="64"/>
      <c r="U20" s="64"/>
    </row>
    <row r="21" ht="13.55" customHeight="1">
      <c r="A21" s="65"/>
      <c r="B21" s="65"/>
      <c r="C21" s="65"/>
      <c r="D21" s="65"/>
      <c r="E21" s="65"/>
      <c r="F21" s="65"/>
      <c r="G21" s="65"/>
      <c r="H21" s="64"/>
      <c r="I21" s="64"/>
      <c r="J21" s="65"/>
      <c r="K21" s="65"/>
      <c r="L21" s="65"/>
      <c r="M21" s="65"/>
      <c r="N21" s="65"/>
      <c r="O21" s="64"/>
      <c r="P21" s="64"/>
      <c r="Q21" s="64"/>
      <c r="R21" s="64"/>
      <c r="S21" s="64"/>
      <c r="T21" s="64"/>
      <c r="U21" s="64"/>
    </row>
    <row r="22" ht="13.55" customHeight="1">
      <c r="A22" s="65"/>
      <c r="B22" s="65"/>
      <c r="C22" s="65"/>
      <c r="D22" s="65"/>
      <c r="E22" s="65"/>
      <c r="F22" s="65"/>
      <c r="G22" s="65"/>
      <c r="H22" s="64"/>
      <c r="I22" s="64"/>
      <c r="J22" s="65"/>
      <c r="K22" s="65"/>
      <c r="L22" s="65"/>
      <c r="M22" s="65"/>
      <c r="N22" s="65"/>
      <c r="O22" s="64"/>
      <c r="P22" s="64"/>
      <c r="Q22" s="64"/>
      <c r="R22" s="64"/>
      <c r="S22" s="64"/>
      <c r="T22" s="64"/>
      <c r="U22" s="64"/>
    </row>
    <row r="23" ht="13.55" customHeight="1">
      <c r="A23" s="65"/>
      <c r="B23" s="65"/>
      <c r="C23" s="65"/>
      <c r="D23" s="65"/>
      <c r="E23" s="65"/>
      <c r="F23" s="65"/>
      <c r="G23" s="65"/>
      <c r="H23" s="64"/>
      <c r="I23" s="64"/>
      <c r="J23" s="65"/>
      <c r="K23" s="65"/>
      <c r="L23" s="65"/>
      <c r="M23" s="65"/>
      <c r="N23" s="65"/>
      <c r="O23" s="64"/>
      <c r="P23" s="64"/>
      <c r="Q23" s="64"/>
      <c r="R23" s="64"/>
      <c r="S23" s="64"/>
      <c r="T23" s="64"/>
      <c r="U23" s="64"/>
    </row>
    <row r="24" ht="13.55" customHeight="1">
      <c r="A24" s="65"/>
      <c r="B24" s="65"/>
      <c r="C24" s="65"/>
      <c r="D24" s="65"/>
      <c r="E24" s="65"/>
      <c r="F24" s="65"/>
      <c r="G24" s="65"/>
      <c r="H24" s="64"/>
      <c r="I24" s="64"/>
      <c r="J24" s="65"/>
      <c r="K24" s="65"/>
      <c r="L24" s="65"/>
      <c r="M24" s="65"/>
      <c r="N24" s="65"/>
      <c r="O24" s="64"/>
      <c r="P24" s="64"/>
      <c r="Q24" s="64"/>
      <c r="R24" s="64"/>
      <c r="S24" s="64"/>
      <c r="T24" s="64"/>
      <c r="U24" s="64"/>
    </row>
    <row r="25" ht="13.55" customHeight="1">
      <c r="A25" s="65"/>
      <c r="B25" s="65"/>
      <c r="C25" s="65"/>
      <c r="D25" s="65"/>
      <c r="E25" s="65"/>
      <c r="F25" s="65"/>
      <c r="G25" s="65"/>
      <c r="H25" s="64"/>
      <c r="I25" s="64"/>
      <c r="J25" s="65"/>
      <c r="K25" s="65"/>
      <c r="L25" s="65"/>
      <c r="M25" s="65"/>
      <c r="N25" s="65"/>
      <c r="O25" s="64"/>
      <c r="P25" s="64"/>
      <c r="Q25" s="64"/>
      <c r="R25" s="64"/>
      <c r="S25" s="64"/>
      <c r="T25" s="64"/>
      <c r="U25" s="64"/>
    </row>
    <row r="26" ht="13.55" customHeight="1">
      <c r="A26" s="65"/>
      <c r="B26" s="65"/>
      <c r="C26" s="65"/>
      <c r="D26" s="65"/>
      <c r="E26" s="65"/>
      <c r="F26" s="65"/>
      <c r="G26" s="65"/>
      <c r="H26" s="64"/>
      <c r="I26" s="64"/>
      <c r="J26" s="65"/>
      <c r="K26" s="65"/>
      <c r="L26" s="65"/>
      <c r="M26" s="65"/>
      <c r="N26" s="65"/>
      <c r="O26" s="64"/>
      <c r="P26" s="64"/>
      <c r="Q26" s="64"/>
      <c r="R26" s="64"/>
      <c r="S26" s="64"/>
      <c r="T26" s="64"/>
      <c r="U26" s="64"/>
    </row>
    <row r="27" ht="13.55" customHeight="1">
      <c r="A27" s="65"/>
      <c r="B27" s="65"/>
      <c r="C27" s="65"/>
      <c r="D27" s="65"/>
      <c r="E27" s="65"/>
      <c r="F27" s="65"/>
      <c r="G27" s="65"/>
      <c r="H27" s="64"/>
      <c r="I27" s="64"/>
      <c r="J27" s="65"/>
      <c r="K27" s="65"/>
      <c r="L27" s="65"/>
      <c r="M27" s="65"/>
      <c r="N27" s="65"/>
      <c r="O27" s="64"/>
      <c r="P27" s="64"/>
      <c r="Q27" s="64"/>
      <c r="R27" s="64"/>
      <c r="S27" s="64"/>
      <c r="T27" s="64"/>
      <c r="U27" s="64"/>
    </row>
    <row r="28" ht="13.55" customHeight="1">
      <c r="A28" s="65"/>
      <c r="B28" s="65"/>
      <c r="C28" s="65"/>
      <c r="D28" s="65"/>
      <c r="E28" s="65"/>
      <c r="F28" s="65"/>
      <c r="G28" s="65"/>
      <c r="H28" s="64"/>
      <c r="I28" s="64"/>
      <c r="J28" s="65"/>
      <c r="K28" s="65"/>
      <c r="L28" s="65"/>
      <c r="M28" s="65"/>
      <c r="N28" s="65"/>
      <c r="O28" s="64"/>
      <c r="P28" s="64"/>
      <c r="Q28" s="64"/>
      <c r="R28" s="64"/>
      <c r="S28" s="64"/>
      <c r="T28" s="64"/>
      <c r="U28" s="64"/>
    </row>
    <row r="29" ht="13.55" customHeight="1">
      <c r="A29" s="65"/>
      <c r="B29" s="65"/>
      <c r="C29" s="65"/>
      <c r="D29" s="65"/>
      <c r="E29" s="65"/>
      <c r="F29" s="65"/>
      <c r="G29" s="65"/>
      <c r="H29" s="64"/>
      <c r="I29" s="64"/>
      <c r="J29" s="65"/>
      <c r="K29" s="65"/>
      <c r="L29" s="65"/>
      <c r="M29" s="65"/>
      <c r="N29" s="65"/>
      <c r="O29" s="64"/>
      <c r="P29" s="64"/>
      <c r="Q29" s="64"/>
      <c r="R29" s="64"/>
      <c r="S29" s="64"/>
      <c r="T29" s="64"/>
      <c r="U29" s="64"/>
    </row>
    <row r="30" ht="13.55" customHeight="1">
      <c r="A30" s="65"/>
      <c r="B30" s="65"/>
      <c r="C30" s="65"/>
      <c r="D30" s="65"/>
      <c r="E30" s="65"/>
      <c r="F30" s="65"/>
      <c r="G30" s="65"/>
      <c r="H30" s="64"/>
      <c r="I30" s="64"/>
      <c r="J30" s="65"/>
      <c r="K30" s="65"/>
      <c r="L30" s="65"/>
      <c r="M30" s="65"/>
      <c r="N30" s="65"/>
      <c r="O30" s="64"/>
      <c r="P30" s="64"/>
      <c r="Q30" s="64"/>
      <c r="R30" s="64"/>
      <c r="S30" s="64"/>
      <c r="T30" s="64"/>
      <c r="U30" s="64"/>
    </row>
    <row r="31" ht="13.55" customHeight="1">
      <c r="A31" s="65"/>
      <c r="B31" s="65"/>
      <c r="C31" s="65"/>
      <c r="D31" s="65"/>
      <c r="E31" s="65"/>
      <c r="F31" s="65"/>
      <c r="G31" s="65"/>
      <c r="H31" s="64"/>
      <c r="I31" s="64"/>
      <c r="J31" s="65"/>
      <c r="K31" s="65"/>
      <c r="L31" s="65"/>
      <c r="M31" s="65"/>
      <c r="N31" s="65"/>
      <c r="O31" s="64"/>
      <c r="P31" s="64"/>
      <c r="Q31" s="64"/>
      <c r="R31" s="64"/>
      <c r="S31" s="64"/>
      <c r="T31" s="64"/>
      <c r="U31" s="64"/>
    </row>
    <row r="32" ht="13.55" customHeight="1">
      <c r="A32" s="65"/>
      <c r="B32" s="65"/>
      <c r="C32" s="65"/>
      <c r="D32" s="65"/>
      <c r="E32" s="65"/>
      <c r="F32" s="65"/>
      <c r="G32" s="65"/>
      <c r="H32" s="64"/>
      <c r="I32" s="64"/>
      <c r="J32" s="65"/>
      <c r="K32" s="65"/>
      <c r="L32" s="65"/>
      <c r="M32" s="65"/>
      <c r="N32" s="65"/>
      <c r="O32" s="64"/>
      <c r="P32" s="64"/>
      <c r="Q32" s="64"/>
      <c r="R32" s="64"/>
      <c r="S32" s="64"/>
      <c r="T32" s="64"/>
      <c r="U32" s="64"/>
    </row>
    <row r="33" ht="13.55" customHeight="1">
      <c r="A33" s="65"/>
      <c r="B33" s="65"/>
      <c r="C33" s="65"/>
      <c r="D33" s="65"/>
      <c r="E33" s="65"/>
      <c r="F33" s="65"/>
      <c r="G33" s="65"/>
      <c r="H33" s="64"/>
      <c r="I33" s="64"/>
      <c r="J33" s="65"/>
      <c r="K33" s="65"/>
      <c r="L33" s="65"/>
      <c r="M33" s="65"/>
      <c r="N33" s="65"/>
      <c r="O33" s="64"/>
      <c r="P33" s="64"/>
      <c r="Q33" s="64"/>
      <c r="R33" s="64"/>
      <c r="S33" s="64"/>
      <c r="T33" s="64"/>
      <c r="U33" s="64"/>
    </row>
    <row r="34" ht="13.55" customHeight="1">
      <c r="A34" s="65"/>
      <c r="B34" s="65"/>
      <c r="C34" s="65"/>
      <c r="D34" s="65"/>
      <c r="E34" s="65"/>
      <c r="F34" s="65"/>
      <c r="G34" s="65"/>
      <c r="H34" s="64"/>
      <c r="I34" s="64"/>
      <c r="J34" s="65"/>
      <c r="K34" s="65"/>
      <c r="L34" s="65"/>
      <c r="M34" s="65"/>
      <c r="N34" s="65"/>
      <c r="O34" s="64"/>
      <c r="P34" s="64"/>
      <c r="Q34" s="64"/>
      <c r="R34" s="64"/>
      <c r="S34" s="64"/>
      <c r="T34" s="64"/>
      <c r="U34" s="64"/>
    </row>
    <row r="35" ht="13.55" customHeight="1">
      <c r="A35" s="65"/>
      <c r="B35" s="65"/>
      <c r="C35" s="65"/>
      <c r="D35" s="65"/>
      <c r="E35" s="65"/>
      <c r="F35" s="65"/>
      <c r="G35" s="65"/>
      <c r="H35" s="64"/>
      <c r="I35" s="64"/>
      <c r="J35" s="65"/>
      <c r="K35" s="65"/>
      <c r="L35" s="65"/>
      <c r="M35" s="65"/>
      <c r="N35" s="65"/>
      <c r="O35" s="64"/>
      <c r="P35" s="64"/>
      <c r="Q35" s="64"/>
      <c r="R35" s="64"/>
      <c r="S35" s="64"/>
      <c r="T35" s="64"/>
      <c r="U35" s="64"/>
    </row>
    <row r="36" ht="13.55" customHeight="1">
      <c r="A36" s="65"/>
      <c r="B36" s="65"/>
      <c r="C36" s="65"/>
      <c r="D36" s="65"/>
      <c r="E36" s="65"/>
      <c r="F36" s="65"/>
      <c r="G36" s="65"/>
      <c r="H36" s="64"/>
      <c r="I36" s="64"/>
      <c r="J36" s="65"/>
      <c r="K36" s="65"/>
      <c r="L36" s="65"/>
      <c r="M36" s="65"/>
      <c r="N36" s="65"/>
      <c r="O36" s="64"/>
      <c r="P36" s="64"/>
      <c r="Q36" s="64"/>
      <c r="R36" s="64"/>
      <c r="S36" s="64"/>
      <c r="T36" s="64"/>
      <c r="U36" s="64"/>
    </row>
    <row r="37" ht="13.55" customHeight="1">
      <c r="A37" s="65"/>
      <c r="B37" s="65"/>
      <c r="C37" s="65"/>
      <c r="D37" s="65"/>
      <c r="E37" s="65"/>
      <c r="F37" s="65"/>
      <c r="G37" s="65"/>
      <c r="H37" s="64"/>
      <c r="I37" s="64"/>
      <c r="J37" s="65"/>
      <c r="K37" s="65"/>
      <c r="L37" s="65"/>
      <c r="M37" s="65"/>
      <c r="N37" s="65"/>
      <c r="O37" s="64"/>
      <c r="P37" s="64"/>
      <c r="Q37" s="64"/>
      <c r="R37" s="64"/>
      <c r="S37" s="64"/>
      <c r="T37" s="64"/>
      <c r="U37" s="64"/>
    </row>
    <row r="38" ht="13.55" customHeight="1">
      <c r="A38" s="65"/>
      <c r="B38" s="65"/>
      <c r="C38" s="65"/>
      <c r="D38" s="65"/>
      <c r="E38" s="65"/>
      <c r="F38" s="65"/>
      <c r="G38" s="65"/>
      <c r="H38" s="64"/>
      <c r="I38" s="64"/>
      <c r="J38" s="65"/>
      <c r="K38" s="65"/>
      <c r="L38" s="65"/>
      <c r="M38" s="65"/>
      <c r="N38" s="65"/>
      <c r="O38" s="64"/>
      <c r="P38" s="64"/>
      <c r="Q38" s="64"/>
      <c r="R38" s="64"/>
      <c r="S38" s="64"/>
      <c r="T38" s="64"/>
      <c r="U38" s="64"/>
    </row>
    <row r="39" ht="13.55" customHeight="1">
      <c r="A39" s="65"/>
      <c r="B39" s="65"/>
      <c r="C39" s="65"/>
      <c r="D39" s="65"/>
      <c r="E39" s="65"/>
      <c r="F39" s="65"/>
      <c r="G39" s="65"/>
      <c r="H39" s="64"/>
      <c r="I39" s="64"/>
      <c r="J39" s="65"/>
      <c r="K39" s="65"/>
      <c r="L39" s="65"/>
      <c r="M39" s="65"/>
      <c r="N39" s="65"/>
      <c r="O39" s="64"/>
      <c r="P39" s="64"/>
      <c r="Q39" s="64"/>
      <c r="R39" s="64"/>
      <c r="S39" s="64"/>
      <c r="T39" s="64"/>
      <c r="U39" s="64"/>
    </row>
    <row r="40" ht="13.55" customHeight="1">
      <c r="A40" s="65"/>
      <c r="B40" s="65"/>
      <c r="C40" s="65"/>
      <c r="D40" s="65"/>
      <c r="E40" s="65"/>
      <c r="F40" s="65"/>
      <c r="G40" s="65"/>
      <c r="H40" s="64"/>
      <c r="I40" s="64"/>
      <c r="J40" s="65"/>
      <c r="K40" s="65"/>
      <c r="L40" s="65"/>
      <c r="M40" s="65"/>
      <c r="N40" s="65"/>
      <c r="O40" s="64"/>
      <c r="P40" s="64"/>
      <c r="Q40" s="64"/>
      <c r="R40" s="64"/>
      <c r="S40" s="64"/>
      <c r="T40" s="64"/>
      <c r="U40" s="64"/>
    </row>
    <row r="41" ht="13.55" customHeight="1">
      <c r="A41" s="65"/>
      <c r="B41" s="65"/>
      <c r="C41" s="65"/>
      <c r="D41" s="65"/>
      <c r="E41" s="65"/>
      <c r="F41" s="65"/>
      <c r="G41" s="65"/>
      <c r="H41" s="64"/>
      <c r="I41" s="64"/>
      <c r="J41" s="65"/>
      <c r="K41" s="65"/>
      <c r="L41" s="65"/>
      <c r="M41" s="65"/>
      <c r="N41" s="65"/>
      <c r="O41" s="64"/>
      <c r="P41" s="64"/>
      <c r="Q41" s="64"/>
      <c r="R41" s="64"/>
      <c r="S41" s="64"/>
      <c r="T41" s="64"/>
      <c r="U41" s="64"/>
    </row>
    <row r="42" ht="13.55" customHeight="1">
      <c r="A42" s="65"/>
      <c r="B42" s="65"/>
      <c r="C42" s="65"/>
      <c r="D42" s="65"/>
      <c r="E42" s="65"/>
      <c r="F42" s="65"/>
      <c r="G42" s="65"/>
      <c r="H42" s="64"/>
      <c r="I42" s="64"/>
      <c r="J42" s="65"/>
      <c r="K42" s="65"/>
      <c r="L42" s="65"/>
      <c r="M42" s="65"/>
      <c r="N42" s="65"/>
      <c r="O42" s="64"/>
      <c r="P42" s="64"/>
      <c r="Q42" s="64"/>
      <c r="R42" s="64"/>
      <c r="S42" s="64"/>
      <c r="T42" s="64"/>
      <c r="U42" s="64"/>
    </row>
    <row r="43" ht="13.55" customHeight="1">
      <c r="A43" s="65"/>
      <c r="B43" s="65"/>
      <c r="C43" s="65"/>
      <c r="D43" s="65"/>
      <c r="E43" s="65"/>
      <c r="F43" s="65"/>
      <c r="G43" s="65"/>
      <c r="H43" s="64"/>
      <c r="I43" s="64"/>
      <c r="J43" s="65"/>
      <c r="K43" s="65"/>
      <c r="L43" s="65"/>
      <c r="M43" s="65"/>
      <c r="N43" s="65"/>
      <c r="O43" s="64"/>
      <c r="P43" s="64"/>
      <c r="Q43" s="64"/>
      <c r="R43" s="64"/>
      <c r="S43" s="64"/>
      <c r="T43" s="64"/>
      <c r="U43" s="64"/>
    </row>
    <row r="44" ht="13.55" customHeight="1">
      <c r="A44" s="65"/>
      <c r="B44" s="65"/>
      <c r="C44" s="65"/>
      <c r="D44" s="65"/>
      <c r="E44" s="65"/>
      <c r="F44" s="65"/>
      <c r="G44" s="65"/>
      <c r="H44" s="64"/>
      <c r="I44" s="64"/>
      <c r="J44" s="65"/>
      <c r="K44" s="65"/>
      <c r="L44" s="65"/>
      <c r="M44" s="65"/>
      <c r="N44" s="65"/>
      <c r="O44" s="64"/>
      <c r="P44" s="64"/>
      <c r="Q44" s="64"/>
      <c r="R44" s="64"/>
      <c r="S44" s="64"/>
      <c r="T44" s="64"/>
      <c r="U44" s="64"/>
    </row>
    <row r="45" ht="13.55" customHeight="1">
      <c r="A45" s="65"/>
      <c r="B45" s="65"/>
      <c r="C45" s="65"/>
      <c r="D45" s="65"/>
      <c r="E45" s="65"/>
      <c r="F45" s="65"/>
      <c r="G45" s="65"/>
      <c r="H45" s="64"/>
      <c r="I45" s="64"/>
      <c r="J45" s="65"/>
      <c r="K45" s="65"/>
      <c r="L45" s="65"/>
      <c r="M45" s="65"/>
      <c r="N45" s="65"/>
      <c r="O45" s="64"/>
      <c r="P45" s="64"/>
      <c r="Q45" s="64"/>
      <c r="R45" s="64"/>
      <c r="S45" s="64"/>
      <c r="T45" s="64"/>
      <c r="U45" s="64"/>
    </row>
    <row r="46" ht="13.55" customHeight="1">
      <c r="A46" s="65"/>
      <c r="B46" s="65"/>
      <c r="C46" s="65"/>
      <c r="D46" s="65"/>
      <c r="E46" s="65"/>
      <c r="F46" s="65"/>
      <c r="G46" s="65"/>
      <c r="H46" s="64"/>
      <c r="I46" s="64"/>
      <c r="J46" s="65"/>
      <c r="K46" s="65"/>
      <c r="L46" s="65"/>
      <c r="M46" s="65"/>
      <c r="N46" s="65"/>
      <c r="O46" s="64"/>
      <c r="P46" s="64"/>
      <c r="Q46" s="64"/>
      <c r="R46" s="64"/>
      <c r="S46" s="64"/>
      <c r="T46" s="64"/>
      <c r="U46" s="64"/>
    </row>
    <row r="47" ht="13.55" customHeight="1">
      <c r="A47" s="65"/>
      <c r="B47" s="65"/>
      <c r="C47" s="65"/>
      <c r="D47" s="65"/>
      <c r="E47" s="65"/>
      <c r="F47" s="65"/>
      <c r="G47" s="65"/>
      <c r="H47" s="64"/>
      <c r="I47" s="64"/>
      <c r="J47" s="65"/>
      <c r="K47" s="65"/>
      <c r="L47" s="65"/>
      <c r="M47" s="65"/>
      <c r="N47" s="65"/>
      <c r="O47" s="64"/>
      <c r="P47" s="64"/>
      <c r="Q47" s="64"/>
      <c r="R47" s="64"/>
      <c r="S47" s="64"/>
      <c r="T47" s="64"/>
      <c r="U47" s="64"/>
    </row>
    <row r="48" ht="13.55" customHeight="1">
      <c r="A48" s="65"/>
      <c r="B48" s="65"/>
      <c r="C48" s="65"/>
      <c r="D48" s="65"/>
      <c r="E48" s="65"/>
      <c r="F48" s="65"/>
      <c r="G48" s="65"/>
      <c r="H48" s="64"/>
      <c r="I48" s="64"/>
      <c r="J48" s="65"/>
      <c r="K48" s="65"/>
      <c r="L48" s="65"/>
      <c r="M48" s="65"/>
      <c r="N48" s="65"/>
      <c r="O48" s="64"/>
      <c r="P48" s="64"/>
      <c r="Q48" s="64"/>
      <c r="R48" s="64"/>
      <c r="S48" s="64"/>
      <c r="T48" s="64"/>
      <c r="U48" s="64"/>
    </row>
    <row r="49" ht="13.55" customHeight="1">
      <c r="A49" s="65"/>
      <c r="B49" s="65"/>
      <c r="C49" s="65"/>
      <c r="D49" s="65"/>
      <c r="E49" s="65"/>
      <c r="F49" s="65"/>
      <c r="G49" s="65"/>
      <c r="H49" s="64"/>
      <c r="I49" s="64"/>
      <c r="J49" s="65"/>
      <c r="K49" s="65"/>
      <c r="L49" s="65"/>
      <c r="M49" s="65"/>
      <c r="N49" s="65"/>
      <c r="O49" s="64"/>
      <c r="P49" s="64"/>
      <c r="Q49" s="64"/>
      <c r="R49" s="64"/>
      <c r="S49" s="64"/>
      <c r="T49" s="64"/>
      <c r="U49" s="64"/>
    </row>
    <row r="50" ht="13.55" customHeight="1">
      <c r="A50" s="65"/>
      <c r="B50" s="65"/>
      <c r="C50" s="65"/>
      <c r="D50" s="65"/>
      <c r="E50" s="65"/>
      <c r="F50" s="65"/>
      <c r="G50" s="65"/>
      <c r="H50" s="64"/>
      <c r="I50" s="64"/>
      <c r="J50" s="65"/>
      <c r="K50" s="65"/>
      <c r="L50" s="65"/>
      <c r="M50" s="65"/>
      <c r="N50" s="65"/>
      <c r="O50" s="64"/>
      <c r="P50" s="64"/>
      <c r="Q50" s="64"/>
      <c r="R50" s="64"/>
      <c r="S50" s="64"/>
      <c r="T50" s="64"/>
      <c r="U50" s="64"/>
    </row>
    <row r="51" ht="13.55" customHeight="1">
      <c r="A51" s="65"/>
      <c r="B51" s="65"/>
      <c r="C51" s="65"/>
      <c r="D51" s="65"/>
      <c r="E51" s="65"/>
      <c r="F51" s="65"/>
      <c r="G51" s="65"/>
      <c r="H51" s="64"/>
      <c r="I51" s="64"/>
      <c r="J51" s="65"/>
      <c r="K51" s="65"/>
      <c r="L51" s="65"/>
      <c r="M51" s="65"/>
      <c r="N51" s="65"/>
      <c r="O51" s="64"/>
      <c r="P51" s="64"/>
      <c r="Q51" s="64"/>
      <c r="R51" s="64"/>
      <c r="S51" s="64"/>
      <c r="T51" s="64"/>
      <c r="U51" s="64"/>
    </row>
    <row r="52" ht="13.55" customHeight="1">
      <c r="A52" s="65"/>
      <c r="B52" s="65"/>
      <c r="C52" s="65"/>
      <c r="D52" s="65"/>
      <c r="E52" s="65"/>
      <c r="F52" s="65"/>
      <c r="G52" s="65"/>
      <c r="H52" s="64"/>
      <c r="I52" s="64"/>
      <c r="J52" s="65"/>
      <c r="K52" s="65"/>
      <c r="L52" s="65"/>
      <c r="M52" s="65"/>
      <c r="N52" s="65"/>
      <c r="O52" s="64"/>
      <c r="P52" s="64"/>
      <c r="Q52" s="64"/>
      <c r="R52" s="64"/>
      <c r="S52" s="64"/>
      <c r="T52" s="64"/>
      <c r="U52" s="64"/>
    </row>
    <row r="53" ht="13.55" customHeight="1">
      <c r="A53" s="65"/>
      <c r="B53" s="65"/>
      <c r="C53" s="65"/>
      <c r="D53" s="65"/>
      <c r="E53" s="65"/>
      <c r="F53" s="65"/>
      <c r="G53" s="65"/>
      <c r="H53" s="64"/>
      <c r="I53" s="64"/>
      <c r="J53" s="65"/>
      <c r="K53" s="65"/>
      <c r="L53" s="65"/>
      <c r="M53" s="65"/>
      <c r="N53" s="65"/>
      <c r="O53" s="64"/>
      <c r="P53" s="64"/>
      <c r="Q53" s="64"/>
      <c r="R53" s="64"/>
      <c r="S53" s="64"/>
      <c r="T53" s="64"/>
      <c r="U53" s="64"/>
    </row>
    <row r="54" ht="13.55" customHeight="1">
      <c r="A54" s="65"/>
      <c r="B54" s="65"/>
      <c r="C54" s="65"/>
      <c r="D54" s="65"/>
      <c r="E54" s="65"/>
      <c r="F54" s="65"/>
      <c r="G54" s="65"/>
      <c r="H54" s="64"/>
      <c r="I54" s="64"/>
      <c r="J54" s="65"/>
      <c r="K54" s="65"/>
      <c r="L54" s="65"/>
      <c r="M54" s="65"/>
      <c r="N54" s="65"/>
      <c r="O54" s="64"/>
      <c r="P54" s="64"/>
      <c r="Q54" s="64"/>
      <c r="R54" s="64"/>
      <c r="S54" s="64"/>
      <c r="T54" s="64"/>
      <c r="U54" s="64"/>
    </row>
    <row r="55" ht="13.55" customHeight="1">
      <c r="A55" s="65"/>
      <c r="B55" s="65"/>
      <c r="C55" s="65"/>
      <c r="D55" s="65"/>
      <c r="E55" s="65"/>
      <c r="F55" s="65"/>
      <c r="G55" s="65"/>
      <c r="H55" s="64"/>
      <c r="I55" s="64"/>
      <c r="J55" s="65"/>
      <c r="K55" s="65"/>
      <c r="L55" s="65"/>
      <c r="M55" s="65"/>
      <c r="N55" s="65"/>
      <c r="O55" s="64"/>
      <c r="P55" s="64"/>
      <c r="Q55" s="64"/>
      <c r="R55" s="64"/>
      <c r="S55" s="64"/>
      <c r="T55" s="64"/>
      <c r="U55" s="64"/>
    </row>
    <row r="56" ht="13.55" customHeight="1">
      <c r="A56" s="65"/>
      <c r="B56" s="65"/>
      <c r="C56" s="65"/>
      <c r="D56" s="65"/>
      <c r="E56" s="65"/>
      <c r="F56" s="65"/>
      <c r="G56" s="65"/>
      <c r="H56" s="64"/>
      <c r="I56" s="64"/>
      <c r="J56" s="65"/>
      <c r="K56" s="65"/>
      <c r="L56" s="65"/>
      <c r="M56" s="65"/>
      <c r="N56" s="65"/>
      <c r="O56" s="64"/>
      <c r="P56" s="64"/>
      <c r="Q56" s="64"/>
      <c r="R56" s="64"/>
      <c r="S56" s="64"/>
      <c r="T56" s="64"/>
      <c r="U56" s="64"/>
    </row>
    <row r="57" ht="13.55" customHeight="1">
      <c r="A57" s="65"/>
      <c r="B57" s="65"/>
      <c r="C57" s="65"/>
      <c r="D57" s="65"/>
      <c r="E57" s="65"/>
      <c r="F57" s="65"/>
      <c r="G57" s="65"/>
      <c r="H57" s="64"/>
      <c r="I57" s="64"/>
      <c r="J57" s="65"/>
      <c r="K57" s="65"/>
      <c r="L57" s="65"/>
      <c r="M57" s="65"/>
      <c r="N57" s="65"/>
      <c r="O57" s="64"/>
      <c r="P57" s="64"/>
      <c r="Q57" s="64"/>
      <c r="R57" s="64"/>
      <c r="S57" s="64"/>
      <c r="T57" s="64"/>
      <c r="U57" s="64"/>
    </row>
    <row r="58" ht="13.55" customHeight="1">
      <c r="A58" s="65"/>
      <c r="B58" s="65"/>
      <c r="C58" s="65"/>
      <c r="D58" s="65"/>
      <c r="E58" s="65"/>
      <c r="F58" s="65"/>
      <c r="G58" s="65"/>
      <c r="H58" s="64"/>
      <c r="I58" s="64"/>
      <c r="J58" s="65"/>
      <c r="K58" s="65"/>
      <c r="L58" s="65"/>
      <c r="M58" s="65"/>
      <c r="N58" s="65"/>
      <c r="O58" s="64"/>
      <c r="P58" s="64"/>
      <c r="Q58" s="64"/>
      <c r="R58" s="64"/>
      <c r="S58" s="64"/>
      <c r="T58" s="64"/>
      <c r="U58" s="64"/>
    </row>
    <row r="59" ht="13.55" customHeight="1">
      <c r="A59" s="65"/>
      <c r="B59" s="65"/>
      <c r="C59" s="65"/>
      <c r="D59" s="65"/>
      <c r="E59" s="65"/>
      <c r="F59" s="65"/>
      <c r="G59" s="65"/>
      <c r="H59" s="64"/>
      <c r="I59" s="64"/>
      <c r="J59" s="65"/>
      <c r="K59" s="65"/>
      <c r="L59" s="65"/>
      <c r="M59" s="65"/>
      <c r="N59" s="65"/>
      <c r="O59" s="64"/>
      <c r="P59" s="64"/>
      <c r="Q59" s="64"/>
      <c r="R59" s="64"/>
      <c r="S59" s="64"/>
      <c r="T59" s="64"/>
      <c r="U59" s="64"/>
    </row>
    <row r="60" ht="13.55" customHeight="1">
      <c r="A60" s="65"/>
      <c r="B60" s="65"/>
      <c r="C60" s="65"/>
      <c r="D60" s="65"/>
      <c r="E60" s="65"/>
      <c r="F60" s="65"/>
      <c r="G60" s="65"/>
      <c r="H60" s="64"/>
      <c r="I60" s="64"/>
      <c r="J60" s="65"/>
      <c r="K60" s="65"/>
      <c r="L60" s="65"/>
      <c r="M60" s="65"/>
      <c r="N60" s="65"/>
      <c r="O60" s="64"/>
      <c r="P60" s="64"/>
      <c r="Q60" s="64"/>
      <c r="R60" s="64"/>
      <c r="S60" s="64"/>
      <c r="T60" s="64"/>
      <c r="U60" s="64"/>
    </row>
    <row r="61" ht="13.55" customHeight="1">
      <c r="A61" s="65"/>
      <c r="B61" s="65"/>
      <c r="C61" s="65"/>
      <c r="D61" s="65"/>
      <c r="E61" s="65"/>
      <c r="F61" s="65"/>
      <c r="G61" s="65"/>
      <c r="H61" s="64"/>
      <c r="I61" s="64"/>
      <c r="J61" s="65"/>
      <c r="K61" s="65"/>
      <c r="L61" s="65"/>
      <c r="M61" s="65"/>
      <c r="N61" s="65"/>
      <c r="O61" s="64"/>
      <c r="P61" s="64"/>
      <c r="Q61" s="64"/>
      <c r="R61" s="64"/>
      <c r="S61" s="64"/>
      <c r="T61" s="64"/>
      <c r="U61" s="64"/>
    </row>
    <row r="62" ht="13.55" customHeight="1">
      <c r="A62" s="65"/>
      <c r="B62" s="65"/>
      <c r="C62" s="65"/>
      <c r="D62" s="65"/>
      <c r="E62" s="65"/>
      <c r="F62" s="65"/>
      <c r="G62" s="65"/>
      <c r="H62" s="64"/>
      <c r="I62" s="64"/>
      <c r="J62" s="65"/>
      <c r="K62" s="65"/>
      <c r="L62" s="65"/>
      <c r="M62" s="65"/>
      <c r="N62" s="65"/>
      <c r="O62" s="64"/>
      <c r="P62" s="64"/>
      <c r="Q62" s="64"/>
      <c r="R62" s="64"/>
      <c r="S62" s="64"/>
      <c r="T62" s="64"/>
      <c r="U62" s="64"/>
    </row>
    <row r="63" ht="13.55" customHeight="1">
      <c r="A63" s="65"/>
      <c r="B63" s="65"/>
      <c r="C63" s="65"/>
      <c r="D63" s="65"/>
      <c r="E63" s="65"/>
      <c r="F63" s="65"/>
      <c r="G63" s="65"/>
      <c r="H63" s="64"/>
      <c r="I63" s="64"/>
      <c r="J63" s="65"/>
      <c r="K63" s="65"/>
      <c r="L63" s="65"/>
      <c r="M63" s="65"/>
      <c r="N63" s="65"/>
      <c r="O63" s="64"/>
      <c r="P63" s="64"/>
      <c r="Q63" s="64"/>
      <c r="R63" s="64"/>
      <c r="S63" s="64"/>
      <c r="T63" s="64"/>
      <c r="U63" s="64"/>
    </row>
    <row r="64" ht="13.55" customHeight="1">
      <c r="A64" s="65"/>
      <c r="B64" s="65"/>
      <c r="C64" s="65"/>
      <c r="D64" s="65"/>
      <c r="E64" s="65"/>
      <c r="F64" s="65"/>
      <c r="G64" s="65"/>
      <c r="H64" s="64"/>
      <c r="I64" s="64"/>
      <c r="J64" s="65"/>
      <c r="K64" s="65"/>
      <c r="L64" s="65"/>
      <c r="M64" s="65"/>
      <c r="N64" s="65"/>
      <c r="O64" s="64"/>
      <c r="P64" s="64"/>
      <c r="Q64" s="64"/>
      <c r="R64" s="64"/>
      <c r="S64" s="64"/>
      <c r="T64" s="64"/>
      <c r="U64" s="64"/>
    </row>
    <row r="65" ht="13.55" customHeight="1">
      <c r="A65" s="65"/>
      <c r="B65" s="65"/>
      <c r="C65" s="65"/>
      <c r="D65" s="65"/>
      <c r="E65" s="65"/>
      <c r="F65" s="65"/>
      <c r="G65" s="65"/>
      <c r="H65" s="64"/>
      <c r="I65" s="64"/>
      <c r="J65" s="65"/>
      <c r="K65" s="65"/>
      <c r="L65" s="65"/>
      <c r="M65" s="65"/>
      <c r="N65" s="65"/>
      <c r="O65" s="64"/>
      <c r="P65" s="64"/>
      <c r="Q65" s="64"/>
      <c r="R65" s="64"/>
      <c r="S65" s="64"/>
      <c r="T65" s="64"/>
      <c r="U65" s="64"/>
    </row>
    <row r="66" ht="13.55" customHeight="1">
      <c r="A66" s="65"/>
      <c r="B66" s="65"/>
      <c r="C66" s="65"/>
      <c r="D66" s="65"/>
      <c r="E66" s="65"/>
      <c r="F66" s="65"/>
      <c r="G66" s="65"/>
      <c r="H66" s="64"/>
      <c r="I66" s="64"/>
      <c r="J66" s="65"/>
      <c r="K66" s="65"/>
      <c r="L66" s="65"/>
      <c r="M66" s="65"/>
      <c r="N66" s="65"/>
      <c r="O66" s="64"/>
      <c r="P66" s="64"/>
      <c r="Q66" s="64"/>
      <c r="R66" s="64"/>
      <c r="S66" s="64"/>
      <c r="T66" s="64"/>
      <c r="U66" s="64"/>
    </row>
    <row r="67" ht="13.55" customHeight="1">
      <c r="A67" s="65"/>
      <c r="B67" s="65"/>
      <c r="C67" s="65"/>
      <c r="D67" s="65"/>
      <c r="E67" s="65"/>
      <c r="F67" s="65"/>
      <c r="G67" s="65"/>
      <c r="H67" s="64"/>
      <c r="I67" s="64"/>
      <c r="J67" s="65"/>
      <c r="K67" s="65"/>
      <c r="L67" s="65"/>
      <c r="M67" s="65"/>
      <c r="N67" s="65"/>
      <c r="O67" s="64"/>
      <c r="P67" s="64"/>
      <c r="Q67" s="64"/>
      <c r="R67" s="64"/>
      <c r="S67" s="64"/>
      <c r="T67" s="64"/>
      <c r="U67" s="64"/>
    </row>
    <row r="68" ht="13.55" customHeight="1">
      <c r="A68" s="65"/>
      <c r="B68" s="65"/>
      <c r="C68" s="65"/>
      <c r="D68" s="65"/>
      <c r="E68" s="65"/>
      <c r="F68" s="65"/>
      <c r="G68" s="65"/>
      <c r="H68" s="64"/>
      <c r="I68" s="64"/>
      <c r="J68" s="65"/>
      <c r="K68" s="65"/>
      <c r="L68" s="65"/>
      <c r="M68" s="65"/>
      <c r="N68" s="65"/>
      <c r="O68" s="64"/>
      <c r="P68" s="64"/>
      <c r="Q68" s="64"/>
      <c r="R68" s="64"/>
      <c r="S68" s="64"/>
      <c r="T68" s="64"/>
      <c r="U68" s="64"/>
    </row>
    <row r="69" ht="13.55" customHeight="1">
      <c r="A69" s="65"/>
      <c r="B69" s="65"/>
      <c r="C69" s="65"/>
      <c r="D69" s="65"/>
      <c r="E69" s="65"/>
      <c r="F69" s="65"/>
      <c r="G69" s="65"/>
      <c r="H69" s="64"/>
      <c r="I69" s="64"/>
      <c r="J69" s="65"/>
      <c r="K69" s="65"/>
      <c r="L69" s="65"/>
      <c r="M69" s="65"/>
      <c r="N69" s="65"/>
      <c r="O69" s="64"/>
      <c r="P69" s="64"/>
      <c r="Q69" s="64"/>
      <c r="R69" s="64"/>
      <c r="S69" s="64"/>
      <c r="T69" s="64"/>
      <c r="U69" s="64"/>
    </row>
    <row r="70" ht="13.55" customHeight="1">
      <c r="A70" s="65"/>
      <c r="B70" s="65"/>
      <c r="C70" s="65"/>
      <c r="D70" s="65"/>
      <c r="E70" s="65"/>
      <c r="F70" s="65"/>
      <c r="G70" s="65"/>
      <c r="H70" s="64"/>
      <c r="I70" s="64"/>
      <c r="J70" s="65"/>
      <c r="K70" s="65"/>
      <c r="L70" s="65"/>
      <c r="M70" s="65"/>
      <c r="N70" s="65"/>
      <c r="O70" s="64"/>
      <c r="P70" s="64"/>
      <c r="Q70" s="64"/>
      <c r="R70" s="64"/>
      <c r="S70" s="64"/>
      <c r="T70" s="64"/>
      <c r="U70" s="64"/>
    </row>
    <row r="71" ht="13.55" customHeight="1">
      <c r="A71" s="65"/>
      <c r="B71" s="65"/>
      <c r="C71" s="65"/>
      <c r="D71" s="65"/>
      <c r="E71" s="65"/>
      <c r="F71" s="65"/>
      <c r="G71" s="65"/>
      <c r="H71" s="64"/>
      <c r="I71" s="64"/>
      <c r="J71" s="65"/>
      <c r="K71" s="65"/>
      <c r="L71" s="65"/>
      <c r="M71" s="65"/>
      <c r="N71" s="65"/>
      <c r="O71" s="64"/>
      <c r="P71" s="64"/>
      <c r="Q71" s="64"/>
      <c r="R71" s="64"/>
      <c r="S71" s="64"/>
      <c r="T71" s="64"/>
      <c r="U71" s="64"/>
    </row>
    <row r="72" ht="13.55" customHeight="1">
      <c r="A72" s="65"/>
      <c r="B72" s="65"/>
      <c r="C72" s="65"/>
      <c r="D72" s="65"/>
      <c r="E72" s="65"/>
      <c r="F72" s="65"/>
      <c r="G72" s="65"/>
      <c r="H72" s="64"/>
      <c r="I72" s="64"/>
      <c r="J72" s="65"/>
      <c r="K72" s="65"/>
      <c r="L72" s="65"/>
      <c r="M72" s="65"/>
      <c r="N72" s="65"/>
      <c r="O72" s="64"/>
      <c r="P72" s="64"/>
      <c r="Q72" s="64"/>
      <c r="R72" s="64"/>
      <c r="S72" s="64"/>
      <c r="T72" s="64"/>
      <c r="U72" s="64"/>
    </row>
    <row r="73" ht="13.55" customHeight="1">
      <c r="A73" s="65"/>
      <c r="B73" s="65"/>
      <c r="C73" s="65"/>
      <c r="D73" s="65"/>
      <c r="E73" s="65"/>
      <c r="F73" s="65"/>
      <c r="G73" s="65"/>
      <c r="H73" s="64"/>
      <c r="I73" s="64"/>
      <c r="J73" s="65"/>
      <c r="K73" s="65"/>
      <c r="L73" s="65"/>
      <c r="M73" s="65"/>
      <c r="N73" s="65"/>
      <c r="O73" s="64"/>
      <c r="P73" s="64"/>
      <c r="Q73" s="64"/>
      <c r="R73" s="64"/>
      <c r="S73" s="64"/>
      <c r="T73" s="64"/>
      <c r="U73" s="64"/>
    </row>
    <row r="74" ht="13.55" customHeight="1">
      <c r="A74" s="65"/>
      <c r="B74" s="65"/>
      <c r="C74" s="65"/>
      <c r="D74" s="65"/>
      <c r="E74" s="65"/>
      <c r="F74" s="65"/>
      <c r="G74" s="65"/>
      <c r="H74" s="64"/>
      <c r="I74" s="64"/>
      <c r="J74" s="65"/>
      <c r="K74" s="65"/>
      <c r="L74" s="65"/>
      <c r="M74" s="65"/>
      <c r="N74" s="65"/>
      <c r="O74" s="64"/>
      <c r="P74" s="64"/>
      <c r="Q74" s="64"/>
      <c r="R74" s="64"/>
      <c r="S74" s="64"/>
      <c r="T74" s="64"/>
      <c r="U74" s="64"/>
    </row>
    <row r="75" ht="13.55" customHeight="1">
      <c r="A75" s="65"/>
      <c r="B75" s="65"/>
      <c r="C75" s="65"/>
      <c r="D75" s="65"/>
      <c r="E75" s="65"/>
      <c r="F75" s="65"/>
      <c r="G75" s="65"/>
      <c r="H75" s="64"/>
      <c r="I75" s="64"/>
      <c r="J75" s="65"/>
      <c r="K75" s="65"/>
      <c r="L75" s="65"/>
      <c r="M75" s="65"/>
      <c r="N75" s="65"/>
      <c r="O75" s="64"/>
      <c r="P75" s="64"/>
      <c r="Q75" s="64"/>
      <c r="R75" s="64"/>
      <c r="S75" s="64"/>
      <c r="T75" s="64"/>
      <c r="U75" s="64"/>
    </row>
    <row r="76" ht="13.55" customHeight="1">
      <c r="A76" s="65"/>
      <c r="B76" s="65"/>
      <c r="C76" s="65"/>
      <c r="D76" s="65"/>
      <c r="E76" s="65"/>
      <c r="F76" s="65"/>
      <c r="G76" s="65"/>
      <c r="H76" s="64"/>
      <c r="I76" s="64"/>
      <c r="J76" s="65"/>
      <c r="K76" s="65"/>
      <c r="L76" s="65"/>
      <c r="M76" s="65"/>
      <c r="N76" s="65"/>
      <c r="O76" s="64"/>
      <c r="P76" s="64"/>
      <c r="Q76" s="64"/>
      <c r="R76" s="64"/>
      <c r="S76" s="64"/>
      <c r="T76" s="64"/>
      <c r="U76" s="64"/>
    </row>
    <row r="77" ht="13.55" customHeight="1">
      <c r="A77" s="65"/>
      <c r="B77" s="65"/>
      <c r="C77" s="65"/>
      <c r="D77" s="65"/>
      <c r="E77" s="65"/>
      <c r="F77" s="65"/>
      <c r="G77" s="65"/>
      <c r="H77" s="64"/>
      <c r="I77" s="64"/>
      <c r="J77" s="65"/>
      <c r="K77" s="65"/>
      <c r="L77" s="65"/>
      <c r="M77" s="65"/>
      <c r="N77" s="65"/>
      <c r="O77" s="64"/>
      <c r="P77" s="64"/>
      <c r="Q77" s="64"/>
      <c r="R77" s="64"/>
      <c r="S77" s="64"/>
      <c r="T77" s="64"/>
      <c r="U77" s="64"/>
    </row>
    <row r="78" ht="13.55" customHeight="1">
      <c r="A78" s="65"/>
      <c r="B78" s="65"/>
      <c r="C78" s="65"/>
      <c r="D78" s="65"/>
      <c r="E78" s="65"/>
      <c r="F78" s="65"/>
      <c r="G78" s="65"/>
      <c r="H78" s="64"/>
      <c r="I78" s="64"/>
      <c r="J78" s="65"/>
      <c r="K78" s="65"/>
      <c r="L78" s="65"/>
      <c r="M78" s="65"/>
      <c r="N78" s="65"/>
      <c r="O78" s="64"/>
      <c r="P78" s="64"/>
      <c r="Q78" s="64"/>
      <c r="R78" s="64"/>
      <c r="S78" s="64"/>
      <c r="T78" s="64"/>
      <c r="U78" s="64"/>
    </row>
    <row r="79" ht="13.55" customHeight="1">
      <c r="A79" s="65"/>
      <c r="B79" s="65"/>
      <c r="C79" s="65"/>
      <c r="D79" s="65"/>
      <c r="E79" s="65"/>
      <c r="F79" s="65"/>
      <c r="G79" s="65"/>
      <c r="H79" s="64"/>
      <c r="I79" s="64"/>
      <c r="J79" s="65"/>
      <c r="K79" s="65"/>
      <c r="L79" s="65"/>
      <c r="M79" s="65"/>
      <c r="N79" s="65"/>
      <c r="O79" s="64"/>
      <c r="P79" s="64"/>
      <c r="Q79" s="64"/>
      <c r="R79" s="64"/>
      <c r="S79" s="64"/>
      <c r="T79" s="64"/>
      <c r="U79" s="64"/>
    </row>
    <row r="80" ht="13.55" customHeight="1">
      <c r="A80" s="65"/>
      <c r="B80" s="65"/>
      <c r="C80" s="65"/>
      <c r="D80" s="65"/>
      <c r="E80" s="65"/>
      <c r="F80" s="65"/>
      <c r="G80" s="65"/>
      <c r="H80" s="64"/>
      <c r="I80" s="64"/>
      <c r="J80" s="65"/>
      <c r="K80" s="65"/>
      <c r="L80" s="65"/>
      <c r="M80" s="65"/>
      <c r="N80" s="65"/>
      <c r="O80" s="64"/>
      <c r="P80" s="64"/>
      <c r="Q80" s="64"/>
      <c r="R80" s="64"/>
      <c r="S80" s="64"/>
      <c r="T80" s="64"/>
      <c r="U80" s="64"/>
    </row>
    <row r="81" ht="13.55" customHeight="1">
      <c r="A81" s="65"/>
      <c r="B81" s="65"/>
      <c r="C81" s="65"/>
      <c r="D81" s="65"/>
      <c r="E81" s="65"/>
      <c r="F81" s="65"/>
      <c r="G81" s="65"/>
      <c r="H81" s="64"/>
      <c r="I81" s="64"/>
      <c r="J81" s="65"/>
      <c r="K81" s="65"/>
      <c r="L81" s="65"/>
      <c r="M81" s="65"/>
      <c r="N81" s="65"/>
      <c r="O81" s="64"/>
      <c r="P81" s="64"/>
      <c r="Q81" s="64"/>
      <c r="R81" s="64"/>
      <c r="S81" s="64"/>
      <c r="T81" s="64"/>
      <c r="U81" s="64"/>
    </row>
    <row r="82" ht="13.55" customHeight="1">
      <c r="A82" s="65"/>
      <c r="B82" s="65"/>
      <c r="C82" s="65"/>
      <c r="D82" s="65"/>
      <c r="E82" s="65"/>
      <c r="F82" s="65"/>
      <c r="G82" s="65"/>
      <c r="H82" s="64"/>
      <c r="I82" s="64"/>
      <c r="J82" s="65"/>
      <c r="K82" s="65"/>
      <c r="L82" s="65"/>
      <c r="M82" s="65"/>
      <c r="N82" s="65"/>
      <c r="O82" s="64"/>
      <c r="P82" s="64"/>
      <c r="Q82" s="64"/>
      <c r="R82" s="64"/>
      <c r="S82" s="64"/>
      <c r="T82" s="64"/>
      <c r="U82" s="64"/>
    </row>
    <row r="83" ht="13.55" customHeight="1">
      <c r="A83" s="65"/>
      <c r="B83" s="65"/>
      <c r="C83" s="65"/>
      <c r="D83" s="65"/>
      <c r="E83" s="65"/>
      <c r="F83" s="65"/>
      <c r="G83" s="65"/>
      <c r="H83" s="64"/>
      <c r="I83" s="64"/>
      <c r="J83" s="65"/>
      <c r="K83" s="65"/>
      <c r="L83" s="65"/>
      <c r="M83" s="65"/>
      <c r="N83" s="65"/>
      <c r="O83" s="64"/>
      <c r="P83" s="64"/>
      <c r="Q83" s="64"/>
      <c r="R83" s="64"/>
      <c r="S83" s="64"/>
      <c r="T83" s="64"/>
      <c r="U83" s="64"/>
    </row>
    <row r="84" ht="13.55" customHeight="1">
      <c r="A84" s="65"/>
      <c r="B84" s="65"/>
      <c r="C84" s="65"/>
      <c r="D84" s="65"/>
      <c r="E84" s="65"/>
      <c r="F84" s="65"/>
      <c r="G84" s="65"/>
      <c r="H84" s="64"/>
      <c r="I84" s="64"/>
      <c r="J84" s="65"/>
      <c r="K84" s="65"/>
      <c r="L84" s="65"/>
      <c r="M84" s="65"/>
      <c r="N84" s="65"/>
      <c r="O84" s="64"/>
      <c r="P84" s="64"/>
      <c r="Q84" s="64"/>
      <c r="R84" s="64"/>
      <c r="S84" s="64"/>
      <c r="T84" s="64"/>
      <c r="U84" s="64"/>
    </row>
    <row r="85" ht="13.55" customHeight="1">
      <c r="A85" s="65"/>
      <c r="B85" s="65"/>
      <c r="C85" s="65"/>
      <c r="D85" s="65"/>
      <c r="E85" s="65"/>
      <c r="F85" s="65"/>
      <c r="G85" s="65"/>
      <c r="H85" s="64"/>
      <c r="I85" s="64"/>
      <c r="J85" s="65"/>
      <c r="K85" s="65"/>
      <c r="L85" s="65"/>
      <c r="M85" s="65"/>
      <c r="N85" s="65"/>
      <c r="O85" s="64"/>
      <c r="P85" s="64"/>
      <c r="Q85" s="64"/>
      <c r="R85" s="64"/>
      <c r="S85" s="64"/>
      <c r="T85" s="64"/>
      <c r="U85" s="64"/>
    </row>
    <row r="86" ht="13.55" customHeight="1">
      <c r="A86" s="65"/>
      <c r="B86" s="65"/>
      <c r="C86" s="65"/>
      <c r="D86" s="65"/>
      <c r="E86" s="65"/>
      <c r="F86" s="65"/>
      <c r="G86" s="65"/>
      <c r="H86" s="64"/>
      <c r="I86" s="64"/>
      <c r="J86" s="65"/>
      <c r="K86" s="65"/>
      <c r="L86" s="65"/>
      <c r="M86" s="65"/>
      <c r="N86" s="65"/>
      <c r="O86" s="64"/>
      <c r="P86" s="64"/>
      <c r="Q86" s="64"/>
      <c r="R86" s="64"/>
      <c r="S86" s="64"/>
      <c r="T86" s="64"/>
      <c r="U86" s="64"/>
    </row>
    <row r="87" ht="13.55" customHeight="1">
      <c r="A87" s="65"/>
      <c r="B87" s="65"/>
      <c r="C87" s="65"/>
      <c r="D87" s="65"/>
      <c r="E87" s="65"/>
      <c r="F87" s="65"/>
      <c r="G87" s="65"/>
      <c r="H87" s="64"/>
      <c r="I87" s="64"/>
      <c r="J87" s="65"/>
      <c r="K87" s="65"/>
      <c r="L87" s="65"/>
      <c r="M87" s="65"/>
      <c r="N87" s="65"/>
      <c r="O87" s="64"/>
      <c r="P87" s="64"/>
      <c r="Q87" s="64"/>
      <c r="R87" s="64"/>
      <c r="S87" s="64"/>
      <c r="T87" s="64"/>
      <c r="U87" s="64"/>
    </row>
    <row r="88" ht="13.55" customHeight="1">
      <c r="A88" s="65"/>
      <c r="B88" s="65"/>
      <c r="C88" s="65"/>
      <c r="D88" s="65"/>
      <c r="E88" s="65"/>
      <c r="F88" s="65"/>
      <c r="G88" s="65"/>
      <c r="H88" s="64"/>
      <c r="I88" s="64"/>
      <c r="J88" s="65"/>
      <c r="K88" s="65"/>
      <c r="L88" s="65"/>
      <c r="M88" s="65"/>
      <c r="N88" s="65"/>
      <c r="O88" s="64"/>
      <c r="P88" s="64"/>
      <c r="Q88" s="64"/>
      <c r="R88" s="64"/>
      <c r="S88" s="64"/>
      <c r="T88" s="64"/>
      <c r="U88" s="64"/>
    </row>
    <row r="89" ht="13.55" customHeight="1">
      <c r="A89" s="65"/>
      <c r="B89" s="65"/>
      <c r="C89" s="65"/>
      <c r="D89" s="65"/>
      <c r="E89" s="65"/>
      <c r="F89" s="65"/>
      <c r="G89" s="65"/>
      <c r="H89" s="64"/>
      <c r="I89" s="64"/>
      <c r="J89" s="65"/>
      <c r="K89" s="65"/>
      <c r="L89" s="65"/>
      <c r="M89" s="65"/>
      <c r="N89" s="65"/>
      <c r="O89" s="64"/>
      <c r="P89" s="64"/>
      <c r="Q89" s="64"/>
      <c r="R89" s="64"/>
      <c r="S89" s="64"/>
      <c r="T89" s="64"/>
      <c r="U89" s="64"/>
    </row>
    <row r="90" ht="13.55" customHeight="1">
      <c r="A90" s="65"/>
      <c r="B90" s="65"/>
      <c r="C90" s="65"/>
      <c r="D90" s="65"/>
      <c r="E90" s="65"/>
      <c r="F90" s="65"/>
      <c r="G90" s="65"/>
      <c r="H90" s="64"/>
      <c r="I90" s="64"/>
      <c r="J90" s="65"/>
      <c r="K90" s="65"/>
      <c r="L90" s="65"/>
      <c r="M90" s="65"/>
      <c r="N90" s="65"/>
      <c r="O90" s="64"/>
      <c r="P90" s="64"/>
      <c r="Q90" s="64"/>
      <c r="R90" s="64"/>
      <c r="S90" s="64"/>
      <c r="T90" s="64"/>
      <c r="U90" s="64"/>
    </row>
    <row r="91" ht="13.55" customHeight="1">
      <c r="A91" s="65"/>
      <c r="B91" s="65"/>
      <c r="C91" s="65"/>
      <c r="D91" s="65"/>
      <c r="E91" s="65"/>
      <c r="F91" s="65"/>
      <c r="G91" s="65"/>
      <c r="H91" s="64"/>
      <c r="I91" s="64"/>
      <c r="J91" s="65"/>
      <c r="K91" s="65"/>
      <c r="L91" s="65"/>
      <c r="M91" s="65"/>
      <c r="N91" s="65"/>
      <c r="O91" s="64"/>
      <c r="P91" s="64"/>
      <c r="Q91" s="64"/>
      <c r="R91" s="64"/>
      <c r="S91" s="64"/>
      <c r="T91" s="64"/>
      <c r="U91" s="64"/>
    </row>
    <row r="92" ht="13.55" customHeight="1">
      <c r="A92" s="65"/>
      <c r="B92" s="65"/>
      <c r="C92" s="65"/>
      <c r="D92" s="65"/>
      <c r="E92" s="65"/>
      <c r="F92" s="65"/>
      <c r="G92" s="65"/>
      <c r="H92" s="64"/>
      <c r="I92" s="64"/>
      <c r="J92" s="65"/>
      <c r="K92" s="65"/>
      <c r="L92" s="65"/>
      <c r="M92" s="65"/>
      <c r="N92" s="65"/>
      <c r="O92" s="64"/>
      <c r="P92" s="64"/>
      <c r="Q92" s="64"/>
      <c r="R92" s="64"/>
      <c r="S92" s="64"/>
      <c r="T92" s="64"/>
      <c r="U92" s="64"/>
    </row>
    <row r="93" ht="13.55" customHeight="1">
      <c r="A93" s="65"/>
      <c r="B93" s="65"/>
      <c r="C93" s="65"/>
      <c r="D93" s="65"/>
      <c r="E93" s="65"/>
      <c r="F93" s="65"/>
      <c r="G93" s="65"/>
      <c r="H93" s="64"/>
      <c r="I93" s="64"/>
      <c r="J93" s="65"/>
      <c r="K93" s="65"/>
      <c r="L93" s="65"/>
      <c r="M93" s="65"/>
      <c r="N93" s="65"/>
      <c r="O93" s="64"/>
      <c r="P93" s="64"/>
      <c r="Q93" s="64"/>
      <c r="R93" s="64"/>
      <c r="S93" s="64"/>
      <c r="T93" s="64"/>
      <c r="U93" s="64"/>
    </row>
    <row r="94" ht="13.55" customHeight="1">
      <c r="A94" s="65"/>
      <c r="B94" s="65"/>
      <c r="C94" s="65"/>
      <c r="D94" s="65"/>
      <c r="E94" s="65"/>
      <c r="F94" s="65"/>
      <c r="G94" s="65"/>
      <c r="H94" s="64"/>
      <c r="I94" s="64"/>
      <c r="J94" s="65"/>
      <c r="K94" s="65"/>
      <c r="L94" s="65"/>
      <c r="M94" s="65"/>
      <c r="N94" s="65"/>
      <c r="O94" s="64"/>
      <c r="P94" s="64"/>
      <c r="Q94" s="64"/>
      <c r="R94" s="64"/>
      <c r="S94" s="64"/>
      <c r="T94" s="64"/>
      <c r="U94" s="64"/>
    </row>
    <row r="95" ht="13.55" customHeight="1">
      <c r="A95" s="65"/>
      <c r="B95" s="65"/>
      <c r="C95" s="65"/>
      <c r="D95" s="65"/>
      <c r="E95" s="65"/>
      <c r="F95" s="65"/>
      <c r="G95" s="65"/>
      <c r="H95" s="64"/>
      <c r="I95" s="64"/>
      <c r="J95" s="65"/>
      <c r="K95" s="65"/>
      <c r="L95" s="65"/>
      <c r="M95" s="65"/>
      <c r="N95" s="65"/>
      <c r="O95" s="64"/>
      <c r="P95" s="64"/>
      <c r="Q95" s="64"/>
      <c r="R95" s="64"/>
      <c r="S95" s="64"/>
      <c r="T95" s="64"/>
      <c r="U95" s="64"/>
    </row>
    <row r="96" ht="13.55" customHeight="1">
      <c r="A96" s="65"/>
      <c r="B96" s="65"/>
      <c r="C96" s="65"/>
      <c r="D96" s="65"/>
      <c r="E96" s="65"/>
      <c r="F96" s="65"/>
      <c r="G96" s="65"/>
      <c r="H96" s="64"/>
      <c r="I96" s="64"/>
      <c r="J96" s="65"/>
      <c r="K96" s="65"/>
      <c r="L96" s="65"/>
      <c r="M96" s="65"/>
      <c r="N96" s="65"/>
      <c r="O96" s="64"/>
      <c r="P96" s="64"/>
      <c r="Q96" s="64"/>
      <c r="R96" s="64"/>
      <c r="S96" s="64"/>
      <c r="T96" s="64"/>
      <c r="U96" s="64"/>
    </row>
    <row r="97" ht="13.55" customHeight="1">
      <c r="A97" s="65"/>
      <c r="B97" s="65"/>
      <c r="C97" s="65"/>
      <c r="D97" s="65"/>
      <c r="E97" s="65"/>
      <c r="F97" s="65"/>
      <c r="G97" s="65"/>
      <c r="H97" s="64"/>
      <c r="I97" s="64"/>
      <c r="J97" s="65"/>
      <c r="K97" s="65"/>
      <c r="L97" s="65"/>
      <c r="M97" s="65"/>
      <c r="N97" s="65"/>
      <c r="O97" s="64"/>
      <c r="P97" s="64"/>
      <c r="Q97" s="64"/>
      <c r="R97" s="64"/>
      <c r="S97" s="64"/>
      <c r="T97" s="64"/>
      <c r="U97" s="64"/>
    </row>
    <row r="98" ht="13.55" customHeight="1">
      <c r="A98" s="65"/>
      <c r="B98" s="65"/>
      <c r="C98" s="65"/>
      <c r="D98" s="65"/>
      <c r="E98" s="65"/>
      <c r="F98" s="65"/>
      <c r="G98" s="65"/>
      <c r="H98" s="64"/>
      <c r="I98" s="64"/>
      <c r="J98" s="65"/>
      <c r="K98" s="65"/>
      <c r="L98" s="65"/>
      <c r="M98" s="65"/>
      <c r="N98" s="65"/>
      <c r="O98" s="64"/>
      <c r="P98" s="64"/>
      <c r="Q98" s="64"/>
      <c r="R98" s="64"/>
      <c r="S98" s="64"/>
      <c r="T98" s="64"/>
      <c r="U98" s="64"/>
    </row>
    <row r="99" ht="13.55" customHeight="1">
      <c r="A99" s="65"/>
      <c r="B99" s="65"/>
      <c r="C99" s="65"/>
      <c r="D99" s="65"/>
      <c r="E99" s="65"/>
      <c r="F99" s="65"/>
      <c r="G99" s="65"/>
      <c r="H99" s="64"/>
      <c r="I99" s="64"/>
      <c r="J99" s="65"/>
      <c r="K99" s="65"/>
      <c r="L99" s="65"/>
      <c r="M99" s="65"/>
      <c r="N99" s="65"/>
      <c r="O99" s="64"/>
      <c r="P99" s="64"/>
      <c r="Q99" s="64"/>
      <c r="R99" s="64"/>
      <c r="S99" s="64"/>
      <c r="T99" s="64"/>
      <c r="U99" s="64"/>
    </row>
    <row r="100" ht="13.55" customHeight="1">
      <c r="A100" s="65"/>
      <c r="B100" s="65"/>
      <c r="C100" s="65"/>
      <c r="D100" s="65"/>
      <c r="E100" s="65"/>
      <c r="F100" s="65"/>
      <c r="G100" s="65"/>
      <c r="H100" s="64"/>
      <c r="I100" s="64"/>
      <c r="J100" s="65"/>
      <c r="K100" s="65"/>
      <c r="L100" s="65"/>
      <c r="M100" s="65"/>
      <c r="N100" s="65"/>
      <c r="O100" s="64"/>
      <c r="P100" s="64"/>
      <c r="Q100" s="64"/>
      <c r="R100" s="64"/>
      <c r="S100" s="64"/>
      <c r="T100" s="64"/>
      <c r="U100" s="64"/>
    </row>
    <row r="101" ht="13.55" customHeight="1">
      <c r="A101" s="65"/>
      <c r="B101" s="65"/>
      <c r="C101" s="65"/>
      <c r="D101" s="65"/>
      <c r="E101" s="65"/>
      <c r="F101" s="65"/>
      <c r="G101" s="65"/>
      <c r="H101" s="64"/>
      <c r="I101" s="64"/>
      <c r="J101" s="65"/>
      <c r="K101" s="65"/>
      <c r="L101" s="65"/>
      <c r="M101" s="65"/>
      <c r="N101" s="65"/>
      <c r="O101" s="64"/>
      <c r="P101" s="64"/>
      <c r="Q101" s="64"/>
      <c r="R101" s="64"/>
      <c r="S101" s="64"/>
      <c r="T101" s="64"/>
      <c r="U101" s="64"/>
    </row>
    <row r="102" ht="13.55" customHeight="1">
      <c r="A102" s="65"/>
      <c r="B102" s="65"/>
      <c r="C102" s="65"/>
      <c r="D102" s="65"/>
      <c r="E102" s="65"/>
      <c r="F102" s="65"/>
      <c r="G102" s="65"/>
      <c r="H102" s="64"/>
      <c r="I102" s="64"/>
      <c r="J102" s="65"/>
      <c r="K102" s="65"/>
      <c r="L102" s="65"/>
      <c r="M102" s="65"/>
      <c r="N102" s="65"/>
      <c r="O102" s="64"/>
      <c r="P102" s="64"/>
      <c r="Q102" s="64"/>
      <c r="R102" s="64"/>
      <c r="S102" s="64"/>
      <c r="T102" s="64"/>
      <c r="U102" s="64"/>
    </row>
    <row r="103" ht="13.55" customHeight="1">
      <c r="A103" s="65"/>
      <c r="B103" s="65"/>
      <c r="C103" s="65"/>
      <c r="D103" s="65"/>
      <c r="E103" s="65"/>
      <c r="F103" s="65"/>
      <c r="G103" s="65"/>
      <c r="H103" s="64"/>
      <c r="I103" s="64"/>
      <c r="J103" s="65"/>
      <c r="K103" s="65"/>
      <c r="L103" s="65"/>
      <c r="M103" s="65"/>
      <c r="N103" s="65"/>
      <c r="O103" s="64"/>
      <c r="P103" s="64"/>
      <c r="Q103" s="64"/>
      <c r="R103" s="64"/>
      <c r="S103" s="64"/>
      <c r="T103" s="64"/>
      <c r="U103" s="64"/>
    </row>
    <row r="104" ht="13.55" customHeight="1">
      <c r="A104" s="65"/>
      <c r="B104" s="65"/>
      <c r="C104" s="65"/>
      <c r="D104" s="65"/>
      <c r="E104" s="65"/>
      <c r="F104" s="65"/>
      <c r="G104" s="65"/>
      <c r="H104" s="64"/>
      <c r="I104" s="64"/>
      <c r="J104" s="65"/>
      <c r="K104" s="65"/>
      <c r="L104" s="65"/>
      <c r="M104" s="65"/>
      <c r="N104" s="65"/>
      <c r="O104" s="64"/>
      <c r="P104" s="64"/>
      <c r="Q104" s="64"/>
      <c r="R104" s="64"/>
      <c r="S104" s="64"/>
      <c r="T104" s="64"/>
      <c r="U104" s="64"/>
    </row>
    <row r="105" ht="13.55" customHeight="1">
      <c r="A105" s="65"/>
      <c r="B105" s="65"/>
      <c r="C105" s="65"/>
      <c r="D105" s="65"/>
      <c r="E105" s="65"/>
      <c r="F105" s="65"/>
      <c r="G105" s="65"/>
      <c r="H105" s="64"/>
      <c r="I105" s="64"/>
      <c r="J105" s="65"/>
      <c r="K105" s="65"/>
      <c r="L105" s="65"/>
      <c r="M105" s="65"/>
      <c r="N105" s="65"/>
      <c r="O105" s="64"/>
      <c r="P105" s="64"/>
      <c r="Q105" s="64"/>
      <c r="R105" s="64"/>
      <c r="S105" s="64"/>
      <c r="T105" s="64"/>
      <c r="U105" s="64"/>
    </row>
    <row r="106" ht="13.55" customHeight="1">
      <c r="A106" s="65"/>
      <c r="B106" s="65"/>
      <c r="C106" s="65"/>
      <c r="D106" s="65"/>
      <c r="E106" s="65"/>
      <c r="F106" s="65"/>
      <c r="G106" s="65"/>
      <c r="H106" s="64"/>
      <c r="I106" s="64"/>
      <c r="J106" s="65"/>
      <c r="K106" s="65"/>
      <c r="L106" s="65"/>
      <c r="M106" s="65"/>
      <c r="N106" s="65"/>
      <c r="O106" s="64"/>
      <c r="P106" s="64"/>
      <c r="Q106" s="64"/>
      <c r="R106" s="64"/>
      <c r="S106" s="64"/>
      <c r="T106" s="64"/>
      <c r="U106" s="64"/>
    </row>
    <row r="107" ht="13.55" customHeight="1">
      <c r="A107" s="65"/>
      <c r="B107" s="65"/>
      <c r="C107" s="65"/>
      <c r="D107" s="65"/>
      <c r="E107" s="65"/>
      <c r="F107" s="65"/>
      <c r="G107" s="65"/>
      <c r="H107" s="64"/>
      <c r="I107" s="64"/>
      <c r="J107" s="65"/>
      <c r="K107" s="65"/>
      <c r="L107" s="65"/>
      <c r="M107" s="65"/>
      <c r="N107" s="65"/>
      <c r="O107" s="64"/>
      <c r="P107" s="64"/>
      <c r="Q107" s="64"/>
      <c r="R107" s="64"/>
      <c r="S107" s="64"/>
      <c r="T107" s="64"/>
      <c r="U107" s="64"/>
    </row>
    <row r="108" ht="13.55" customHeight="1">
      <c r="A108" s="65"/>
      <c r="B108" s="65"/>
      <c r="C108" s="65"/>
      <c r="D108" s="65"/>
      <c r="E108" s="65"/>
      <c r="F108" s="65"/>
      <c r="G108" s="65"/>
      <c r="H108" s="64"/>
      <c r="I108" s="64"/>
      <c r="J108" s="65"/>
      <c r="K108" s="65"/>
      <c r="L108" s="65"/>
      <c r="M108" s="65"/>
      <c r="N108" s="65"/>
      <c r="O108" s="64"/>
      <c r="P108" s="64"/>
      <c r="Q108" s="64"/>
      <c r="R108" s="64"/>
      <c r="S108" s="64"/>
      <c r="T108" s="64"/>
      <c r="U108" s="64"/>
    </row>
    <row r="109" ht="13.55" customHeight="1">
      <c r="A109" s="65"/>
      <c r="B109" s="65"/>
      <c r="C109" s="65"/>
      <c r="D109" s="65"/>
      <c r="E109" s="65"/>
      <c r="F109" s="65"/>
      <c r="G109" s="65"/>
      <c r="H109" s="64"/>
      <c r="I109" s="64"/>
      <c r="J109" s="65"/>
      <c r="K109" s="65"/>
      <c r="L109" s="65"/>
      <c r="M109" s="65"/>
      <c r="N109" s="65"/>
      <c r="O109" s="64"/>
      <c r="P109" s="64"/>
      <c r="Q109" s="64"/>
      <c r="R109" s="64"/>
      <c r="S109" s="64"/>
      <c r="T109" s="64"/>
      <c r="U109" s="64"/>
    </row>
    <row r="110" ht="13.55" customHeight="1">
      <c r="A110" s="65"/>
      <c r="B110" s="65"/>
      <c r="C110" s="65"/>
      <c r="D110" s="65"/>
      <c r="E110" s="65"/>
      <c r="F110" s="65"/>
      <c r="G110" s="65"/>
      <c r="H110" s="64"/>
      <c r="I110" s="64"/>
      <c r="J110" s="65"/>
      <c r="K110" s="65"/>
      <c r="L110" s="65"/>
      <c r="M110" s="65"/>
      <c r="N110" s="65"/>
      <c r="O110" s="64"/>
      <c r="P110" s="64"/>
      <c r="Q110" s="64"/>
      <c r="R110" s="64"/>
      <c r="S110" s="64"/>
      <c r="T110" s="64"/>
      <c r="U110" s="64"/>
    </row>
    <row r="111" ht="13.55" customHeight="1">
      <c r="A111" s="65"/>
      <c r="B111" s="65"/>
      <c r="C111" s="65"/>
      <c r="D111" s="65"/>
      <c r="E111" s="65"/>
      <c r="F111" s="65"/>
      <c r="G111" s="65"/>
      <c r="H111" s="64"/>
      <c r="I111" s="64"/>
      <c r="J111" s="65"/>
      <c r="K111" s="65"/>
      <c r="L111" s="65"/>
      <c r="M111" s="65"/>
      <c r="N111" s="65"/>
      <c r="O111" s="64"/>
      <c r="P111" s="64"/>
      <c r="Q111" s="64"/>
      <c r="R111" s="64"/>
      <c r="S111" s="64"/>
      <c r="T111" s="64"/>
      <c r="U111" s="64"/>
    </row>
    <row r="112" ht="13.55" customHeight="1">
      <c r="A112" s="65"/>
      <c r="B112" s="65"/>
      <c r="C112" s="65"/>
      <c r="D112" s="65"/>
      <c r="E112" s="65"/>
      <c r="F112" s="65"/>
      <c r="G112" s="65"/>
      <c r="H112" s="64"/>
      <c r="I112" s="64"/>
      <c r="J112" s="65"/>
      <c r="K112" s="65"/>
      <c r="L112" s="65"/>
      <c r="M112" s="65"/>
      <c r="N112" s="65"/>
      <c r="O112" s="64"/>
      <c r="P112" s="64"/>
      <c r="Q112" s="64"/>
      <c r="R112" s="64"/>
      <c r="S112" s="64"/>
      <c r="T112" s="64"/>
      <c r="U112" s="64"/>
    </row>
    <row r="113" ht="13.55" customHeight="1">
      <c r="A113" s="65"/>
      <c r="B113" s="65"/>
      <c r="C113" s="65"/>
      <c r="D113" s="65"/>
      <c r="E113" s="65"/>
      <c r="F113" s="65"/>
      <c r="G113" s="65"/>
      <c r="H113" s="64"/>
      <c r="I113" s="64"/>
      <c r="J113" s="65"/>
      <c r="K113" s="65"/>
      <c r="L113" s="65"/>
      <c r="M113" s="65"/>
      <c r="N113" s="65"/>
      <c r="O113" s="64"/>
      <c r="P113" s="64"/>
      <c r="Q113" s="64"/>
      <c r="R113" s="64"/>
      <c r="S113" s="64"/>
      <c r="T113" s="64"/>
      <c r="U113" s="64"/>
    </row>
    <row r="114" ht="13.55" customHeight="1">
      <c r="A114" s="65"/>
      <c r="B114" s="65"/>
      <c r="C114" s="65"/>
      <c r="D114" s="65"/>
      <c r="E114" s="65"/>
      <c r="F114" s="65"/>
      <c r="G114" s="65"/>
      <c r="H114" s="64"/>
      <c r="I114" s="64"/>
      <c r="J114" s="65"/>
      <c r="K114" s="65"/>
      <c r="L114" s="65"/>
      <c r="M114" s="65"/>
      <c r="N114" s="65"/>
      <c r="O114" s="64"/>
      <c r="P114" s="64"/>
      <c r="Q114" s="64"/>
      <c r="R114" s="64"/>
      <c r="S114" s="64"/>
      <c r="T114" s="64"/>
      <c r="U114" s="64"/>
    </row>
    <row r="115" ht="13.55" customHeight="1">
      <c r="A115" s="65"/>
      <c r="B115" s="65"/>
      <c r="C115" s="65"/>
      <c r="D115" s="65"/>
      <c r="E115" s="65"/>
      <c r="F115" s="65"/>
      <c r="G115" s="65"/>
      <c r="H115" s="64"/>
      <c r="I115" s="64"/>
      <c r="J115" s="65"/>
      <c r="K115" s="65"/>
      <c r="L115" s="65"/>
      <c r="M115" s="65"/>
      <c r="N115" s="65"/>
      <c r="O115" s="64"/>
      <c r="P115" s="64"/>
      <c r="Q115" s="64"/>
      <c r="R115" s="64"/>
      <c r="S115" s="64"/>
      <c r="T115" s="64"/>
      <c r="U115" s="64"/>
    </row>
    <row r="116" ht="13.55" customHeight="1">
      <c r="A116" s="65"/>
      <c r="B116" s="65"/>
      <c r="C116" s="65"/>
      <c r="D116" s="65"/>
      <c r="E116" s="65"/>
      <c r="F116" s="65"/>
      <c r="G116" s="65"/>
      <c r="H116" s="64"/>
      <c r="I116" s="64"/>
      <c r="J116" s="65"/>
      <c r="K116" s="65"/>
      <c r="L116" s="65"/>
      <c r="M116" s="65"/>
      <c r="N116" s="65"/>
      <c r="O116" s="64"/>
      <c r="P116" s="64"/>
      <c r="Q116" s="64"/>
      <c r="R116" s="64"/>
      <c r="S116" s="64"/>
      <c r="T116" s="64"/>
      <c r="U116" s="64"/>
    </row>
    <row r="117" ht="13.55" customHeight="1">
      <c r="A117" s="65"/>
      <c r="B117" s="65"/>
      <c r="C117" s="65"/>
      <c r="D117" s="65"/>
      <c r="E117" s="65"/>
      <c r="F117" s="65"/>
      <c r="G117" s="65"/>
      <c r="H117" s="64"/>
      <c r="I117" s="64"/>
      <c r="J117" s="65"/>
      <c r="K117" s="65"/>
      <c r="L117" s="65"/>
      <c r="M117" s="65"/>
      <c r="N117" s="65"/>
      <c r="O117" s="64"/>
      <c r="P117" s="64"/>
      <c r="Q117" s="64"/>
      <c r="R117" s="64"/>
      <c r="S117" s="64"/>
      <c r="T117" s="64"/>
      <c r="U117" s="64"/>
    </row>
    <row r="118" ht="13.55" customHeight="1">
      <c r="A118" s="65"/>
      <c r="B118" s="65"/>
      <c r="C118" s="65"/>
      <c r="D118" s="65"/>
      <c r="E118" s="65"/>
      <c r="F118" s="65"/>
      <c r="G118" s="65"/>
      <c r="H118" s="64"/>
      <c r="I118" s="64"/>
      <c r="J118" s="65"/>
      <c r="K118" s="65"/>
      <c r="L118" s="65"/>
      <c r="M118" s="65"/>
      <c r="N118" s="65"/>
      <c r="O118" s="64"/>
      <c r="P118" s="64"/>
      <c r="Q118" s="64"/>
      <c r="R118" s="64"/>
      <c r="S118" s="64"/>
      <c r="T118" s="64"/>
      <c r="U118" s="64"/>
    </row>
    <row r="119" ht="13.55" customHeight="1">
      <c r="A119" s="65"/>
      <c r="B119" s="65"/>
      <c r="C119" s="65"/>
      <c r="D119" s="65"/>
      <c r="E119" s="65"/>
      <c r="F119" s="65"/>
      <c r="G119" s="65"/>
      <c r="H119" s="64"/>
      <c r="I119" s="64"/>
      <c r="J119" s="65"/>
      <c r="K119" s="65"/>
      <c r="L119" s="65"/>
      <c r="M119" s="65"/>
      <c r="N119" s="65"/>
      <c r="O119" s="64"/>
      <c r="P119" s="64"/>
      <c r="Q119" s="64"/>
      <c r="R119" s="64"/>
      <c r="S119" s="64"/>
      <c r="T119" s="64"/>
      <c r="U119" s="64"/>
    </row>
    <row r="120" ht="13.55" customHeight="1">
      <c r="A120" s="65"/>
      <c r="B120" s="65"/>
      <c r="C120" s="65"/>
      <c r="D120" s="65"/>
      <c r="E120" s="65"/>
      <c r="F120" s="65"/>
      <c r="G120" s="65"/>
      <c r="H120" s="64"/>
      <c r="I120" s="64"/>
      <c r="J120" s="65"/>
      <c r="K120" s="65"/>
      <c r="L120" s="65"/>
      <c r="M120" s="65"/>
      <c r="N120" s="65"/>
      <c r="O120" s="64"/>
      <c r="P120" s="64"/>
      <c r="Q120" s="64"/>
      <c r="R120" s="64"/>
      <c r="S120" s="64"/>
      <c r="T120" s="64"/>
      <c r="U120" s="64"/>
    </row>
    <row r="121" ht="13.55" customHeight="1">
      <c r="A121" s="65"/>
      <c r="B121" s="65"/>
      <c r="C121" s="65"/>
      <c r="D121" s="65"/>
      <c r="E121" s="65"/>
      <c r="F121" s="65"/>
      <c r="G121" s="65"/>
      <c r="H121" s="64"/>
      <c r="I121" s="64"/>
      <c r="J121" s="65"/>
      <c r="K121" s="65"/>
      <c r="L121" s="65"/>
      <c r="M121" s="65"/>
      <c r="N121" s="65"/>
      <c r="O121" s="64"/>
      <c r="P121" s="64"/>
      <c r="Q121" s="64"/>
      <c r="R121" s="64"/>
      <c r="S121" s="64"/>
      <c r="T121" s="64"/>
      <c r="U121" s="64"/>
    </row>
    <row r="122" ht="13.55" customHeight="1">
      <c r="A122" s="65"/>
      <c r="B122" s="65"/>
      <c r="C122" s="65"/>
      <c r="D122" s="65"/>
      <c r="E122" s="65"/>
      <c r="F122" s="65"/>
      <c r="G122" s="65"/>
      <c r="H122" s="64"/>
      <c r="I122" s="64"/>
      <c r="J122" s="65"/>
      <c r="K122" s="65"/>
      <c r="L122" s="65"/>
      <c r="M122" s="65"/>
      <c r="N122" s="65"/>
      <c r="O122" s="64"/>
      <c r="P122" s="64"/>
      <c r="Q122" s="64"/>
      <c r="R122" s="64"/>
      <c r="S122" s="64"/>
      <c r="T122" s="64"/>
      <c r="U122" s="64"/>
    </row>
    <row r="123" ht="13.55" customHeight="1">
      <c r="A123" s="65"/>
      <c r="B123" s="65"/>
      <c r="C123" s="65"/>
      <c r="D123" s="65"/>
      <c r="E123" s="65"/>
      <c r="F123" s="65"/>
      <c r="G123" s="65"/>
      <c r="H123" s="64"/>
      <c r="I123" s="64"/>
      <c r="J123" s="65"/>
      <c r="K123" s="65"/>
      <c r="L123" s="65"/>
      <c r="M123" s="65"/>
      <c r="N123" s="65"/>
      <c r="O123" s="64"/>
      <c r="P123" s="64"/>
      <c r="Q123" s="64"/>
      <c r="R123" s="64"/>
      <c r="S123" s="64"/>
      <c r="T123" s="64"/>
      <c r="U123" s="64"/>
    </row>
    <row r="124" ht="13.55" customHeight="1">
      <c r="A124" s="65"/>
      <c r="B124" s="65"/>
      <c r="C124" s="65"/>
      <c r="D124" s="65"/>
      <c r="E124" s="65"/>
      <c r="F124" s="65"/>
      <c r="G124" s="65"/>
      <c r="H124" s="64"/>
      <c r="I124" s="64"/>
      <c r="J124" s="65"/>
      <c r="K124" s="65"/>
      <c r="L124" s="65"/>
      <c r="M124" s="65"/>
      <c r="N124" s="65"/>
      <c r="O124" s="64"/>
      <c r="P124" s="64"/>
      <c r="Q124" s="64"/>
      <c r="R124" s="64"/>
      <c r="S124" s="64"/>
      <c r="T124" s="64"/>
      <c r="U124" s="64"/>
    </row>
    <row r="125" ht="13.55" customHeight="1">
      <c r="A125" s="65"/>
      <c r="B125" s="65"/>
      <c r="C125" s="65"/>
      <c r="D125" s="65"/>
      <c r="E125" s="65"/>
      <c r="F125" s="65"/>
      <c r="G125" s="65"/>
      <c r="H125" s="64"/>
      <c r="I125" s="64"/>
      <c r="J125" s="65"/>
      <c r="K125" s="65"/>
      <c r="L125" s="65"/>
      <c r="M125" s="65"/>
      <c r="N125" s="65"/>
      <c r="O125" s="64"/>
      <c r="P125" s="64"/>
      <c r="Q125" s="64"/>
      <c r="R125" s="64"/>
      <c r="S125" s="64"/>
      <c r="T125" s="64"/>
      <c r="U125" s="64"/>
    </row>
    <row r="126" ht="13.55" customHeight="1">
      <c r="A126" s="65"/>
      <c r="B126" s="65"/>
      <c r="C126" s="65"/>
      <c r="D126" s="65"/>
      <c r="E126" s="65"/>
      <c r="F126" s="65"/>
      <c r="G126" s="65"/>
      <c r="H126" s="64"/>
      <c r="I126" s="64"/>
      <c r="J126" s="65"/>
      <c r="K126" s="65"/>
      <c r="L126" s="65"/>
      <c r="M126" s="65"/>
      <c r="N126" s="65"/>
      <c r="O126" s="64"/>
      <c r="P126" s="64"/>
      <c r="Q126" s="64"/>
      <c r="R126" s="64"/>
      <c r="S126" s="64"/>
      <c r="T126" s="64"/>
      <c r="U126" s="64"/>
    </row>
    <row r="127" ht="13.55" customHeight="1">
      <c r="A127" s="65"/>
      <c r="B127" s="65"/>
      <c r="C127" s="65"/>
      <c r="D127" s="65"/>
      <c r="E127" s="65"/>
      <c r="F127" s="65"/>
      <c r="G127" s="65"/>
      <c r="H127" s="64"/>
      <c r="I127" s="64"/>
      <c r="J127" s="65"/>
      <c r="K127" s="65"/>
      <c r="L127" s="65"/>
      <c r="M127" s="65"/>
      <c r="N127" s="65"/>
      <c r="O127" s="64"/>
      <c r="P127" s="64"/>
      <c r="Q127" s="64"/>
      <c r="R127" s="64"/>
      <c r="S127" s="64"/>
      <c r="T127" s="64"/>
      <c r="U127" s="64"/>
    </row>
    <row r="128" ht="13.55" customHeight="1">
      <c r="A128" s="65"/>
      <c r="B128" s="65"/>
      <c r="C128" s="65"/>
      <c r="D128" s="65"/>
      <c r="E128" s="65"/>
      <c r="F128" s="65"/>
      <c r="G128" s="65"/>
      <c r="H128" s="64"/>
      <c r="I128" s="64"/>
      <c r="J128" s="65"/>
      <c r="K128" s="65"/>
      <c r="L128" s="65"/>
      <c r="M128" s="65"/>
      <c r="N128" s="65"/>
      <c r="O128" s="64"/>
      <c r="P128" s="64"/>
      <c r="Q128" s="64"/>
      <c r="R128" s="64"/>
      <c r="S128" s="64"/>
      <c r="T128" s="64"/>
      <c r="U128" s="64"/>
    </row>
    <row r="129" ht="13.55" customHeight="1">
      <c r="A129" s="65"/>
      <c r="B129" s="65"/>
      <c r="C129" s="65"/>
      <c r="D129" s="65"/>
      <c r="E129" s="65"/>
      <c r="F129" s="65"/>
      <c r="G129" s="65"/>
      <c r="H129" s="64"/>
      <c r="I129" s="64"/>
      <c r="J129" s="65"/>
      <c r="K129" s="65"/>
      <c r="L129" s="65"/>
      <c r="M129" s="65"/>
      <c r="N129" s="65"/>
      <c r="O129" s="64"/>
      <c r="P129" s="64"/>
      <c r="Q129" s="64"/>
      <c r="R129" s="64"/>
      <c r="S129" s="64"/>
      <c r="T129" s="64"/>
      <c r="U129" s="64"/>
    </row>
    <row r="130" ht="13.55" customHeight="1">
      <c r="A130" s="65"/>
      <c r="B130" s="65"/>
      <c r="C130" s="65"/>
      <c r="D130" s="65"/>
      <c r="E130" s="65"/>
      <c r="F130" s="65"/>
      <c r="G130" s="65"/>
      <c r="H130" s="64"/>
      <c r="I130" s="64"/>
      <c r="J130" s="65"/>
      <c r="K130" s="65"/>
      <c r="L130" s="65"/>
      <c r="M130" s="65"/>
      <c r="N130" s="65"/>
      <c r="O130" s="64"/>
      <c r="P130" s="64"/>
      <c r="Q130" s="64"/>
      <c r="R130" s="64"/>
      <c r="S130" s="64"/>
      <c r="T130" s="64"/>
      <c r="U130" s="64"/>
    </row>
    <row r="131" ht="13.55" customHeight="1">
      <c r="A131" s="65"/>
      <c r="B131" s="65"/>
      <c r="C131" s="65"/>
      <c r="D131" s="65"/>
      <c r="E131" s="65"/>
      <c r="F131" s="65"/>
      <c r="G131" s="65"/>
      <c r="H131" s="64"/>
      <c r="I131" s="64"/>
      <c r="J131" s="65"/>
      <c r="K131" s="65"/>
      <c r="L131" s="65"/>
      <c r="M131" s="65"/>
      <c r="N131" s="65"/>
      <c r="O131" s="64"/>
      <c r="P131" s="64"/>
      <c r="Q131" s="64"/>
      <c r="R131" s="64"/>
      <c r="S131" s="64"/>
      <c r="T131" s="64"/>
      <c r="U131" s="64"/>
    </row>
    <row r="132" ht="13.55" customHeight="1">
      <c r="A132" s="65"/>
      <c r="B132" s="65"/>
      <c r="C132" s="65"/>
      <c r="D132" s="65"/>
      <c r="E132" s="65"/>
      <c r="F132" s="65"/>
      <c r="G132" s="65"/>
      <c r="H132" s="64"/>
      <c r="I132" s="64"/>
      <c r="J132" s="65"/>
      <c r="K132" s="65"/>
      <c r="L132" s="65"/>
      <c r="M132" s="65"/>
      <c r="N132" s="65"/>
      <c r="O132" s="64"/>
      <c r="P132" s="64"/>
      <c r="Q132" s="64"/>
      <c r="R132" s="64"/>
      <c r="S132" s="64"/>
      <c r="T132" s="64"/>
      <c r="U132" s="64"/>
    </row>
    <row r="133" ht="13.55" customHeight="1">
      <c r="A133" s="65"/>
      <c r="B133" s="65"/>
      <c r="C133" s="65"/>
      <c r="D133" s="65"/>
      <c r="E133" s="65"/>
      <c r="F133" s="65"/>
      <c r="G133" s="65"/>
      <c r="H133" s="64"/>
      <c r="I133" s="64"/>
      <c r="J133" s="65"/>
      <c r="K133" s="65"/>
      <c r="L133" s="65"/>
      <c r="M133" s="65"/>
      <c r="N133" s="65"/>
      <c r="O133" s="64"/>
      <c r="P133" s="64"/>
      <c r="Q133" s="64"/>
      <c r="R133" s="64"/>
      <c r="S133" s="64"/>
      <c r="T133" s="64"/>
      <c r="U133" s="64"/>
    </row>
    <row r="134" ht="13.55" customHeight="1">
      <c r="A134" s="65"/>
      <c r="B134" s="65"/>
      <c r="C134" s="65"/>
      <c r="D134" s="65"/>
      <c r="E134" s="65"/>
      <c r="F134" s="65"/>
      <c r="G134" s="65"/>
      <c r="H134" s="64"/>
      <c r="I134" s="64"/>
      <c r="J134" s="65"/>
      <c r="K134" s="65"/>
      <c r="L134" s="65"/>
      <c r="M134" s="65"/>
      <c r="N134" s="65"/>
      <c r="O134" s="64"/>
      <c r="P134" s="64"/>
      <c r="Q134" s="64"/>
      <c r="R134" s="64"/>
      <c r="S134" s="64"/>
      <c r="T134" s="64"/>
      <c r="U134" s="64"/>
    </row>
  </sheetData>
  <mergeCells count="4">
    <mergeCell ref="A1:G1"/>
    <mergeCell ref="A2:G2"/>
    <mergeCell ref="A4:G4"/>
    <mergeCell ref="A12:G12"/>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drawing r:id="rId1"/>
</worksheet>
</file>

<file path=xl/worksheets/sheet4.xml><?xml version="1.0" encoding="utf-8"?>
<worksheet xmlns:r="http://schemas.openxmlformats.org/officeDocument/2006/relationships" xmlns="http://schemas.openxmlformats.org/spreadsheetml/2006/main">
  <dimension ref="A1:V205"/>
  <sheetViews>
    <sheetView workbookViewId="0" showGridLines="0" defaultGridColor="1"/>
  </sheetViews>
  <sheetFormatPr defaultColWidth="8.66667" defaultRowHeight="15" customHeight="1" outlineLevelRow="0" outlineLevelCol="0"/>
  <cols>
    <col min="1" max="1" width="12" style="87" customWidth="1"/>
    <col min="2" max="5" width="16" style="87" customWidth="1"/>
    <col min="6" max="22" width="8.67188" style="87" customWidth="1"/>
    <col min="23" max="16384" width="8.67188" style="87" customWidth="1"/>
  </cols>
  <sheetData>
    <row r="1" ht="19.45" customHeight="1">
      <c r="A1" t="s" s="62">
        <v>99</v>
      </c>
      <c r="B1" s="63"/>
      <c r="C1" s="63"/>
      <c r="D1" s="63"/>
      <c r="E1" s="63"/>
      <c r="F1" s="88"/>
      <c r="G1" s="64"/>
      <c r="H1" s="64"/>
      <c r="I1" s="64"/>
      <c r="J1" s="64"/>
      <c r="K1" s="64"/>
      <c r="L1" s="64"/>
      <c r="M1" s="64"/>
      <c r="N1" s="64"/>
      <c r="O1" s="64"/>
      <c r="P1" s="64"/>
      <c r="Q1" s="64"/>
      <c r="R1" s="64"/>
      <c r="S1" s="64"/>
      <c r="T1" s="64"/>
      <c r="U1" s="64"/>
      <c r="V1" s="64"/>
    </row>
    <row r="2" ht="13.75" customHeight="1">
      <c r="A2" t="s" s="66">
        <v>100</v>
      </c>
      <c r="B2" s="67"/>
      <c r="C2" s="67"/>
      <c r="D2" s="67"/>
      <c r="E2" s="67"/>
      <c r="F2" s="89"/>
      <c r="G2" s="64"/>
      <c r="H2" s="64"/>
      <c r="I2" s="64"/>
      <c r="J2" s="64"/>
      <c r="K2" s="64"/>
      <c r="L2" s="64"/>
      <c r="M2" s="64"/>
      <c r="N2" s="64"/>
      <c r="O2" s="64"/>
      <c r="P2" s="64"/>
      <c r="Q2" s="64"/>
      <c r="R2" s="64"/>
      <c r="S2" s="64"/>
      <c r="T2" s="64"/>
      <c r="U2" s="64"/>
      <c r="V2" s="64"/>
    </row>
    <row r="3" ht="13.55" customHeight="1">
      <c r="A3" s="68"/>
      <c r="B3" s="68"/>
      <c r="C3" s="68"/>
      <c r="D3" s="68"/>
      <c r="E3" s="65"/>
      <c r="F3" s="64"/>
      <c r="G3" s="64"/>
      <c r="H3" s="64"/>
      <c r="I3" s="64"/>
      <c r="J3" s="64"/>
      <c r="K3" s="64"/>
      <c r="L3" s="64"/>
      <c r="M3" s="64"/>
      <c r="N3" s="64"/>
      <c r="O3" s="64"/>
      <c r="P3" s="64"/>
      <c r="Q3" s="64"/>
      <c r="R3" s="64"/>
      <c r="S3" s="64"/>
      <c r="T3" s="64"/>
      <c r="U3" s="64"/>
      <c r="V3" s="64"/>
    </row>
    <row r="4" ht="15.35" customHeight="1">
      <c r="A4" t="s" s="90">
        <v>101</v>
      </c>
      <c r="B4" s="91"/>
      <c r="C4" s="91"/>
      <c r="D4" s="91"/>
      <c r="E4" s="92"/>
      <c r="F4" s="64"/>
      <c r="G4" s="64"/>
      <c r="H4" s="64"/>
      <c r="I4" s="64"/>
      <c r="J4" s="64"/>
      <c r="K4" s="64"/>
      <c r="L4" s="64"/>
      <c r="M4" s="64"/>
      <c r="N4" s="64"/>
      <c r="O4" s="64"/>
      <c r="P4" s="64"/>
      <c r="Q4" s="64"/>
      <c r="R4" s="64"/>
      <c r="S4" s="64"/>
      <c r="T4" s="64"/>
      <c r="U4" s="64"/>
      <c r="V4" s="64"/>
    </row>
    <row r="5" ht="13.55" customHeight="1">
      <c r="A5" t="s" s="50">
        <v>24</v>
      </c>
      <c r="B5" t="s" s="50">
        <v>34</v>
      </c>
      <c r="C5" t="s" s="50">
        <v>74</v>
      </c>
      <c r="D5" t="s" s="50">
        <v>93</v>
      </c>
      <c r="E5" s="93"/>
      <c r="F5" s="64"/>
      <c r="G5" s="64"/>
      <c r="H5" s="64"/>
      <c r="I5" s="64"/>
      <c r="J5" s="64"/>
      <c r="K5" s="64"/>
      <c r="L5" s="64"/>
      <c r="M5" s="64"/>
      <c r="N5" s="64"/>
      <c r="O5" s="64"/>
      <c r="P5" s="64"/>
      <c r="Q5" s="64"/>
      <c r="R5" s="64"/>
      <c r="S5" s="64"/>
      <c r="T5" s="64"/>
      <c r="U5" s="64"/>
      <c r="V5" s="64"/>
    </row>
    <row r="6" ht="13.55" customHeight="1">
      <c r="A6" t="s" s="94">
        <v>25</v>
      </c>
      <c r="B6" s="79" cm="1">
        <f t="array" ref="B6">SUMIF('Cleaned Data'!J1:J1001,A6,'Cleaned Data'!G1:G1001)</f>
        <v>13091344</v>
      </c>
      <c r="C6" s="77" cm="1">
        <f t="array" ref="C6">SUMIF('Cleaned Data'!J1:J1001,A6,'Cleaned Data'!E1:E1001)</f>
        <v>316</v>
      </c>
      <c r="D6" s="77" cm="1">
        <f t="array" ref="D6">COUNTIF('Cleaned Data'!J1:J1001,A6)</f>
        <v>30</v>
      </c>
      <c r="E6" s="93"/>
      <c r="F6" s="64"/>
      <c r="G6" s="64"/>
      <c r="H6" s="64"/>
      <c r="I6" s="64"/>
      <c r="J6" s="64"/>
      <c r="K6" s="64"/>
      <c r="L6" s="64"/>
      <c r="M6" s="64"/>
      <c r="N6" s="64"/>
      <c r="O6" s="64"/>
      <c r="P6" s="64"/>
      <c r="Q6" s="64"/>
      <c r="R6" s="64"/>
      <c r="S6" s="64"/>
      <c r="T6" s="64"/>
      <c r="U6" s="64"/>
      <c r="V6" s="64"/>
    </row>
    <row r="7" ht="13.55" customHeight="1">
      <c r="A7" t="s" s="95">
        <v>26</v>
      </c>
      <c r="B7" s="83" cm="1">
        <f t="array" ref="B7">SUMIF('Cleaned Data'!J1:J1001,A7,'Cleaned Data'!G1:G1001)</f>
        <v>14823394</v>
      </c>
      <c r="C7" s="81" cm="1">
        <f t="array" ref="C7">SUMIF('Cleaned Data'!J1:J1001,A7,'Cleaned Data'!E1:E1001)</f>
        <v>336</v>
      </c>
      <c r="D7" s="81" cm="1">
        <f t="array" ref="D7">COUNTIF('Cleaned Data'!J1:J1001,A7)</f>
        <v>35</v>
      </c>
      <c r="E7" s="93"/>
      <c r="F7" s="64"/>
      <c r="G7" s="64"/>
      <c r="H7" s="64"/>
      <c r="I7" s="64"/>
      <c r="J7" s="64"/>
      <c r="K7" s="64"/>
      <c r="L7" s="64"/>
      <c r="M7" s="64"/>
      <c r="N7" s="64"/>
      <c r="O7" s="64"/>
      <c r="P7" s="64"/>
      <c r="Q7" s="64"/>
      <c r="R7" s="64"/>
      <c r="S7" s="64"/>
      <c r="T7" s="64"/>
      <c r="U7" s="64"/>
      <c r="V7" s="64"/>
    </row>
    <row r="8" ht="13.55" customHeight="1">
      <c r="A8" t="s" s="94">
        <v>27</v>
      </c>
      <c r="B8" s="79" cm="1">
        <f t="array" ref="B8">SUMIF('Cleaned Data'!J1:J1001,A8,'Cleaned Data'!G1:G1001)</f>
        <v>8468568</v>
      </c>
      <c r="C8" s="77" cm="1">
        <f t="array" ref="C8">SUMIF('Cleaned Data'!J1:J1001,A8,'Cleaned Data'!E1:E1001)</f>
        <v>198</v>
      </c>
      <c r="D8" s="77" cm="1">
        <f t="array" ref="D8">COUNTIF('Cleaned Data'!J1:J1001,A8)</f>
        <v>20</v>
      </c>
      <c r="E8" s="93"/>
      <c r="F8" s="64"/>
      <c r="G8" s="64"/>
      <c r="H8" s="64"/>
      <c r="I8" s="64"/>
      <c r="J8" s="64"/>
      <c r="K8" s="64"/>
      <c r="L8" s="64"/>
      <c r="M8" s="64"/>
      <c r="N8" s="64"/>
      <c r="O8" s="64"/>
      <c r="P8" s="64"/>
      <c r="Q8" s="64"/>
      <c r="R8" s="64"/>
      <c r="S8" s="64"/>
      <c r="T8" s="64"/>
      <c r="U8" s="64"/>
      <c r="V8" s="64"/>
    </row>
    <row r="9" ht="13.55" customHeight="1">
      <c r="A9" t="s" s="95">
        <v>28</v>
      </c>
      <c r="B9" s="83" cm="1">
        <f t="array" ref="B9">SUMIF('Cleaned Data'!J1:J1001,A9,'Cleaned Data'!G1:G1001)</f>
        <v>13943225</v>
      </c>
      <c r="C9" s="81" cm="1">
        <f t="array" ref="C9">SUMIF('Cleaned Data'!J1:J1001,A9,'Cleaned Data'!E1:E1001)</f>
        <v>344</v>
      </c>
      <c r="D9" s="81" cm="1">
        <f t="array" ref="D9">COUNTIF('Cleaned Data'!J1:J1001,A9)</f>
        <v>34</v>
      </c>
      <c r="E9" s="93"/>
      <c r="F9" s="64"/>
      <c r="G9" s="64"/>
      <c r="H9" s="64"/>
      <c r="I9" s="64"/>
      <c r="J9" s="64"/>
      <c r="K9" s="64"/>
      <c r="L9" s="64"/>
      <c r="M9" s="64"/>
      <c r="N9" s="64"/>
      <c r="O9" s="64"/>
      <c r="P9" s="64"/>
      <c r="Q9" s="64"/>
      <c r="R9" s="64"/>
      <c r="S9" s="64"/>
      <c r="T9" s="64"/>
      <c r="U9" s="64"/>
      <c r="V9" s="64"/>
    </row>
    <row r="10" ht="13.55" customHeight="1">
      <c r="A10" t="s" s="94">
        <v>29</v>
      </c>
      <c r="B10" s="79" cm="1">
        <f t="array" ref="B10">SUMIF('Cleaned Data'!J1:J1001,A10,'Cleaned Data'!G1:G1001)</f>
        <v>10276242</v>
      </c>
      <c r="C10" s="77" cm="1">
        <f t="array" ref="C10">SUMIF('Cleaned Data'!J1:J1001,A10,'Cleaned Data'!E1:E1001)</f>
        <v>254</v>
      </c>
      <c r="D10" s="77" cm="1">
        <f t="array" ref="D10">COUNTIF('Cleaned Data'!J1:J1001,A10)</f>
        <v>33</v>
      </c>
      <c r="E10" s="93"/>
      <c r="F10" s="64"/>
      <c r="G10" s="64"/>
      <c r="H10" s="64"/>
      <c r="I10" s="64"/>
      <c r="J10" s="64"/>
      <c r="K10" s="64"/>
      <c r="L10" s="64"/>
      <c r="M10" s="64"/>
      <c r="N10" s="64"/>
      <c r="O10" s="64"/>
      <c r="P10" s="64"/>
      <c r="Q10" s="64"/>
      <c r="R10" s="64"/>
      <c r="S10" s="64"/>
      <c r="T10" s="64"/>
      <c r="U10" s="64"/>
      <c r="V10" s="64"/>
    </row>
    <row r="11" ht="13.55" customHeight="1">
      <c r="A11" t="s" s="95">
        <v>31</v>
      </c>
      <c r="B11" s="83" cm="1">
        <f t="array" ref="B11">SUMIF('Cleaned Data'!J1:J1001,A11,'Cleaned Data'!G1:G1001)</f>
        <v>14420530</v>
      </c>
      <c r="C11" s="81" cm="1">
        <f t="array" ref="C11">SUMIF('Cleaned Data'!J1:J1001,A11,'Cleaned Data'!E1:E1001)</f>
        <v>346</v>
      </c>
      <c r="D11" s="81" cm="1">
        <f t="array" ref="D11">COUNTIF('Cleaned Data'!J1:J1001,A11)</f>
        <v>31</v>
      </c>
      <c r="E11" s="93"/>
      <c r="F11" s="64"/>
      <c r="G11" s="64"/>
      <c r="H11" s="64"/>
      <c r="I11" s="64"/>
      <c r="J11" s="64"/>
      <c r="K11" s="64"/>
      <c r="L11" s="64"/>
      <c r="M11" s="64"/>
      <c r="N11" s="64"/>
      <c r="O11" s="64"/>
      <c r="P11" s="64"/>
      <c r="Q11" s="64"/>
      <c r="R11" s="64"/>
      <c r="S11" s="64"/>
      <c r="T11" s="64"/>
      <c r="U11" s="64"/>
      <c r="V11" s="64"/>
    </row>
    <row r="12" ht="13.55" customHeight="1">
      <c r="A12" t="s" s="94">
        <v>36</v>
      </c>
      <c r="B12" s="79" cm="1">
        <f t="array" ref="B12">SUMIF('Cleaned Data'!J1:J1001,A12,'Cleaned Data'!G1:G1001)</f>
        <v>12810483</v>
      </c>
      <c r="C12" s="77" cm="1">
        <f t="array" ref="C12">SUMIF('Cleaned Data'!J1:J1001,A12,'Cleaned Data'!E1:E1001)</f>
        <v>317</v>
      </c>
      <c r="D12" s="77" cm="1">
        <f t="array" ref="D12">COUNTIF('Cleaned Data'!J1:J1001,A12)</f>
        <v>31</v>
      </c>
      <c r="E12" s="93"/>
      <c r="F12" s="64"/>
      <c r="G12" s="64"/>
      <c r="H12" s="64"/>
      <c r="I12" s="64"/>
      <c r="J12" s="64"/>
      <c r="K12" s="64"/>
      <c r="L12" s="64"/>
      <c r="M12" s="64"/>
      <c r="N12" s="64"/>
      <c r="O12" s="64"/>
      <c r="P12" s="64"/>
      <c r="Q12" s="64"/>
      <c r="R12" s="64"/>
      <c r="S12" s="64"/>
      <c r="T12" s="64"/>
      <c r="U12" s="64"/>
      <c r="V12" s="64"/>
    </row>
    <row r="13" ht="13.55" customHeight="1">
      <c r="A13" t="s" s="95">
        <v>39</v>
      </c>
      <c r="B13" s="83" cm="1">
        <f t="array" ref="B13">SUMIF('Cleaned Data'!J1:J1001,A13,'Cleaned Data'!G1:G1001)</f>
        <v>13994409</v>
      </c>
      <c r="C13" s="81" cm="1">
        <f t="array" ref="C13">SUMIF('Cleaned Data'!J1:J1001,A13,'Cleaned Data'!E1:E1001)</f>
        <v>336</v>
      </c>
      <c r="D13" s="81" cm="1">
        <f t="array" ref="D13">COUNTIF('Cleaned Data'!J1:J1001,A13)</f>
        <v>37</v>
      </c>
      <c r="E13" s="93"/>
      <c r="F13" s="64"/>
      <c r="G13" s="64"/>
      <c r="H13" s="64"/>
      <c r="I13" s="64"/>
      <c r="J13" s="64"/>
      <c r="K13" s="64"/>
      <c r="L13" s="64"/>
      <c r="M13" s="64"/>
      <c r="N13" s="64"/>
      <c r="O13" s="64"/>
      <c r="P13" s="64"/>
      <c r="Q13" s="64"/>
      <c r="R13" s="64"/>
      <c r="S13" s="64"/>
      <c r="T13" s="64"/>
      <c r="U13" s="64"/>
      <c r="V13" s="64"/>
    </row>
    <row r="14" ht="13.55" customHeight="1">
      <c r="A14" t="s" s="94">
        <v>42</v>
      </c>
      <c r="B14" s="79" cm="1">
        <f t="array" ref="B14">SUMIF('Cleaned Data'!J1:J1001,A14,'Cleaned Data'!G1:G1001)</f>
        <v>14746979</v>
      </c>
      <c r="C14" s="77" cm="1">
        <f t="array" ref="C14">SUMIF('Cleaned Data'!J1:J1001,A14,'Cleaned Data'!E1:E1001)</f>
        <v>327</v>
      </c>
      <c r="D14" s="77" cm="1">
        <f t="array" ref="D14">COUNTIF('Cleaned Data'!J1:J1001,A14)</f>
        <v>31</v>
      </c>
      <c r="E14" s="93"/>
      <c r="F14" s="64"/>
      <c r="G14" s="64"/>
      <c r="H14" s="64"/>
      <c r="I14" s="64"/>
      <c r="J14" s="64"/>
      <c r="K14" s="64"/>
      <c r="L14" s="64"/>
      <c r="M14" s="64"/>
      <c r="N14" s="64"/>
      <c r="O14" s="64"/>
      <c r="P14" s="64"/>
      <c r="Q14" s="64"/>
      <c r="R14" s="64"/>
      <c r="S14" s="64"/>
      <c r="T14" s="64"/>
      <c r="U14" s="64"/>
      <c r="V14" s="64"/>
    </row>
    <row r="15" ht="13.55" customHeight="1">
      <c r="A15" t="s" s="95">
        <v>45</v>
      </c>
      <c r="B15" s="83" cm="1">
        <f t="array" ref="B15">SUMIF('Cleaned Data'!J1:J1001,A15,'Cleaned Data'!G1:G1001)</f>
        <v>10412407</v>
      </c>
      <c r="C15" s="81" cm="1">
        <f t="array" ref="C15">SUMIF('Cleaned Data'!J1:J1001,A15,'Cleaned Data'!E1:E1001)</f>
        <v>248</v>
      </c>
      <c r="D15" s="81" cm="1">
        <f t="array" ref="D15">COUNTIF('Cleaned Data'!J1:J1001,A15)</f>
        <v>24</v>
      </c>
      <c r="E15" s="93"/>
      <c r="F15" s="64"/>
      <c r="G15" s="64"/>
      <c r="H15" s="64"/>
      <c r="I15" s="64"/>
      <c r="J15" s="64"/>
      <c r="K15" s="64"/>
      <c r="L15" s="64"/>
      <c r="M15" s="64"/>
      <c r="N15" s="64"/>
      <c r="O15" s="64"/>
      <c r="P15" s="64"/>
      <c r="Q15" s="64"/>
      <c r="R15" s="64"/>
      <c r="S15" s="64"/>
      <c r="T15" s="64"/>
      <c r="U15" s="64"/>
      <c r="V15" s="64"/>
    </row>
    <row r="16" ht="13.55" customHeight="1">
      <c r="A16" t="s" s="94">
        <v>48</v>
      </c>
      <c r="B16" s="79" cm="1">
        <f t="array" ref="B16">SUMIF('Cleaned Data'!J1:J1001,A16,'Cleaned Data'!G1:G1001)</f>
        <v>6969279</v>
      </c>
      <c r="C16" s="77" cm="1">
        <f t="array" ref="C16">SUMIF('Cleaned Data'!J1:J1001,A16,'Cleaned Data'!E1:E1001)</f>
        <v>131</v>
      </c>
      <c r="D16" s="77" cm="1">
        <f t="array" ref="D16">COUNTIF('Cleaned Data'!J1:J1001,A16)</f>
        <v>15</v>
      </c>
      <c r="E16" s="93"/>
      <c r="F16" s="64"/>
      <c r="G16" s="64"/>
      <c r="H16" s="64"/>
      <c r="I16" s="64"/>
      <c r="J16" s="64"/>
      <c r="K16" s="64"/>
      <c r="L16" s="64"/>
      <c r="M16" s="64"/>
      <c r="N16" s="64"/>
      <c r="O16" s="64"/>
      <c r="P16" s="64"/>
      <c r="Q16" s="64"/>
      <c r="R16" s="64"/>
      <c r="S16" s="64"/>
      <c r="T16" s="64"/>
      <c r="U16" s="64"/>
      <c r="V16" s="64"/>
    </row>
    <row r="17" ht="13.55" customHeight="1">
      <c r="A17" t="s" s="95">
        <v>50</v>
      </c>
      <c r="B17" s="83" cm="1">
        <f t="array" ref="B17">SUMIF('Cleaned Data'!J1:J1001,A17,'Cleaned Data'!G1:G1001)</f>
        <v>12839766</v>
      </c>
      <c r="C17" s="81" cm="1">
        <f t="array" ref="C17">SUMIF('Cleaned Data'!J1:J1001,A17,'Cleaned Data'!E1:E1001)</f>
        <v>297</v>
      </c>
      <c r="D17" s="81" cm="1">
        <f t="array" ref="D17">COUNTIF('Cleaned Data'!J1:J1001,A17)</f>
        <v>30</v>
      </c>
      <c r="E17" s="93"/>
      <c r="F17" s="64"/>
      <c r="G17" s="64"/>
      <c r="H17" s="64"/>
      <c r="I17" s="64"/>
      <c r="J17" s="64"/>
      <c r="K17" s="64"/>
      <c r="L17" s="64"/>
      <c r="M17" s="64"/>
      <c r="N17" s="64"/>
      <c r="O17" s="64"/>
      <c r="P17" s="64"/>
      <c r="Q17" s="64"/>
      <c r="R17" s="64"/>
      <c r="S17" s="64"/>
      <c r="T17" s="64"/>
      <c r="U17" s="64"/>
      <c r="V17" s="64"/>
    </row>
    <row r="18" ht="13.55" customHeight="1">
      <c r="A18" t="s" s="94">
        <v>51</v>
      </c>
      <c r="B18" s="79" cm="1">
        <f t="array" ref="B18">SUMIF('Cleaned Data'!J1:J1001,A18,'Cleaned Data'!G1:G1001)</f>
        <v>19061653</v>
      </c>
      <c r="C18" s="77" cm="1">
        <f t="array" ref="C18">SUMIF('Cleaned Data'!J1:J1001,A18,'Cleaned Data'!E1:E1001)</f>
        <v>405</v>
      </c>
      <c r="D18" s="77" cm="1">
        <f t="array" ref="D18">COUNTIF('Cleaned Data'!J1:J1001,A18)</f>
        <v>39</v>
      </c>
      <c r="E18" s="93"/>
      <c r="F18" s="64"/>
      <c r="G18" s="64"/>
      <c r="H18" s="64"/>
      <c r="I18" s="64"/>
      <c r="J18" s="64"/>
      <c r="K18" s="64"/>
      <c r="L18" s="64"/>
      <c r="M18" s="64"/>
      <c r="N18" s="64"/>
      <c r="O18" s="64"/>
      <c r="P18" s="64"/>
      <c r="Q18" s="64"/>
      <c r="R18" s="64"/>
      <c r="S18" s="64"/>
      <c r="T18" s="64"/>
      <c r="U18" s="64"/>
      <c r="V18" s="64"/>
    </row>
    <row r="19" ht="13.55" customHeight="1">
      <c r="A19" t="s" s="95">
        <v>52</v>
      </c>
      <c r="B19" s="83" cm="1">
        <f t="array" ref="B19">SUMIF('Cleaned Data'!J1:J1001,A19,'Cleaned Data'!G1:G1001)</f>
        <v>11366242</v>
      </c>
      <c r="C19" s="81" cm="1">
        <f t="array" ref="C19">SUMIF('Cleaned Data'!J1:J1001,A19,'Cleaned Data'!E1:E1001)</f>
        <v>328</v>
      </c>
      <c r="D19" s="81" cm="1">
        <f t="array" ref="D19">COUNTIF('Cleaned Data'!J1:J1001,A19)</f>
        <v>30</v>
      </c>
      <c r="E19" s="93"/>
      <c r="F19" s="64"/>
      <c r="G19" s="64"/>
      <c r="H19" s="64"/>
      <c r="I19" s="64"/>
      <c r="J19" s="64"/>
      <c r="K19" s="64"/>
      <c r="L19" s="64"/>
      <c r="M19" s="64"/>
      <c r="N19" s="64"/>
      <c r="O19" s="64"/>
      <c r="P19" s="64"/>
      <c r="Q19" s="64"/>
      <c r="R19" s="64"/>
      <c r="S19" s="64"/>
      <c r="T19" s="64"/>
      <c r="U19" s="64"/>
      <c r="V19" s="64"/>
    </row>
    <row r="20" ht="13.55" customHeight="1">
      <c r="A20" t="s" s="94">
        <v>53</v>
      </c>
      <c r="B20" s="79" cm="1">
        <f t="array" ref="B20">SUMIF('Cleaned Data'!J1:J1001,A20,'Cleaned Data'!G1:G1001)</f>
        <v>9808736</v>
      </c>
      <c r="C20" s="77" cm="1">
        <f t="array" ref="C20">SUMIF('Cleaned Data'!J1:J1001,A20,'Cleaned Data'!E1:E1001)</f>
        <v>230</v>
      </c>
      <c r="D20" s="77" cm="1">
        <f t="array" ref="D20">COUNTIF('Cleaned Data'!J1:J1001,A20)</f>
        <v>24</v>
      </c>
      <c r="E20" s="93"/>
      <c r="F20" s="64"/>
      <c r="G20" s="64"/>
      <c r="H20" s="64"/>
      <c r="I20" s="64"/>
      <c r="J20" s="64"/>
      <c r="K20" s="64"/>
      <c r="L20" s="64"/>
      <c r="M20" s="64"/>
      <c r="N20" s="64"/>
      <c r="O20" s="64"/>
      <c r="P20" s="64"/>
      <c r="Q20" s="64"/>
      <c r="R20" s="64"/>
      <c r="S20" s="64"/>
      <c r="T20" s="64"/>
      <c r="U20" s="64"/>
      <c r="V20" s="64"/>
    </row>
    <row r="21" ht="13.55" customHeight="1">
      <c r="A21" t="s" s="95">
        <v>54</v>
      </c>
      <c r="B21" s="83" cm="1">
        <f t="array" ref="B21">SUMIF('Cleaned Data'!J1:J1001,A21,'Cleaned Data'!G1:G1001)</f>
        <v>16371228</v>
      </c>
      <c r="C21" s="81" cm="1">
        <f t="array" ref="C21">SUMIF('Cleaned Data'!J1:J1001,A21,'Cleaned Data'!E1:E1001)</f>
        <v>371</v>
      </c>
      <c r="D21" s="81" cm="1">
        <f t="array" ref="D21">COUNTIF('Cleaned Data'!J1:J1001,A21)</f>
        <v>32</v>
      </c>
      <c r="E21" s="93"/>
      <c r="F21" s="64"/>
      <c r="G21" s="64"/>
      <c r="H21" s="64"/>
      <c r="I21" s="64"/>
      <c r="J21" s="64"/>
      <c r="K21" s="64"/>
      <c r="L21" s="64"/>
      <c r="M21" s="64"/>
      <c r="N21" s="64"/>
      <c r="O21" s="64"/>
      <c r="P21" s="64"/>
      <c r="Q21" s="64"/>
      <c r="R21" s="64"/>
      <c r="S21" s="64"/>
      <c r="T21" s="64"/>
      <c r="U21" s="64"/>
      <c r="V21" s="64"/>
    </row>
    <row r="22" ht="13.55" customHeight="1">
      <c r="A22" t="s" s="94">
        <v>55</v>
      </c>
      <c r="B22" s="79" cm="1">
        <f t="array" ref="B22">SUMIF('Cleaned Data'!J1:J1001,A22,'Cleaned Data'!G1:G1001)</f>
        <v>16535409</v>
      </c>
      <c r="C22" s="77" cm="1">
        <f t="array" ref="C22">SUMIF('Cleaned Data'!J1:J1001,A22,'Cleaned Data'!E1:E1001)</f>
        <v>399</v>
      </c>
      <c r="D22" s="77" cm="1">
        <f t="array" ref="D22">COUNTIF('Cleaned Data'!J1:J1001,A22)</f>
        <v>40</v>
      </c>
      <c r="E22" s="93"/>
      <c r="F22" s="64"/>
      <c r="G22" s="64"/>
      <c r="H22" s="64"/>
      <c r="I22" s="64"/>
      <c r="J22" s="64"/>
      <c r="K22" s="64"/>
      <c r="L22" s="64"/>
      <c r="M22" s="64"/>
      <c r="N22" s="64"/>
      <c r="O22" s="64"/>
      <c r="P22" s="64"/>
      <c r="Q22" s="64"/>
      <c r="R22" s="64"/>
      <c r="S22" s="64"/>
      <c r="T22" s="64"/>
      <c r="U22" s="64"/>
      <c r="V22" s="64"/>
    </row>
    <row r="23" ht="13.55" customHeight="1">
      <c r="A23" t="s" s="95">
        <v>56</v>
      </c>
      <c r="B23" s="83" cm="1">
        <f t="array" ref="B23">SUMIF('Cleaned Data'!J1:J1001,A23,'Cleaned Data'!G1:G1001)</f>
        <v>6375553</v>
      </c>
      <c r="C23" s="81" cm="1">
        <f t="array" ref="C23">SUMIF('Cleaned Data'!J1:J1001,A23,'Cleaned Data'!E1:E1001)</f>
        <v>170</v>
      </c>
      <c r="D23" s="81" cm="1">
        <f t="array" ref="D23">COUNTIF('Cleaned Data'!J1:J1001,A23)</f>
        <v>17</v>
      </c>
      <c r="E23" s="93"/>
      <c r="F23" s="64"/>
      <c r="G23" s="64"/>
      <c r="H23" s="64"/>
      <c r="I23" s="64"/>
      <c r="J23" s="64"/>
      <c r="K23" s="64"/>
      <c r="L23" s="64"/>
      <c r="M23" s="64"/>
      <c r="N23" s="64"/>
      <c r="O23" s="64"/>
      <c r="P23" s="64"/>
      <c r="Q23" s="64"/>
      <c r="R23" s="64"/>
      <c r="S23" s="64"/>
      <c r="T23" s="64"/>
      <c r="U23" s="64"/>
      <c r="V23" s="64"/>
    </row>
    <row r="24" ht="13.55" customHeight="1">
      <c r="A24" t="s" s="94">
        <v>57</v>
      </c>
      <c r="B24" s="79" cm="1">
        <f t="array" ref="B24">SUMIF('Cleaned Data'!J1:J1001,A24,'Cleaned Data'!G1:G1001)</f>
        <v>14435147</v>
      </c>
      <c r="C24" s="77" cm="1">
        <f t="array" ref="C24">SUMIF('Cleaned Data'!J1:J1001,A24,'Cleaned Data'!E1:E1001)</f>
        <v>371</v>
      </c>
      <c r="D24" s="77" cm="1">
        <f t="array" ref="D24">COUNTIF('Cleaned Data'!J1:J1001,A24)</f>
        <v>36</v>
      </c>
      <c r="E24" s="93"/>
      <c r="F24" s="64"/>
      <c r="G24" s="64"/>
      <c r="H24" s="64"/>
      <c r="I24" s="64"/>
      <c r="J24" s="64"/>
      <c r="K24" s="64"/>
      <c r="L24" s="64"/>
      <c r="M24" s="64"/>
      <c r="N24" s="64"/>
      <c r="O24" s="64"/>
      <c r="P24" s="64"/>
      <c r="Q24" s="64"/>
      <c r="R24" s="64"/>
      <c r="S24" s="64"/>
      <c r="T24" s="64"/>
      <c r="U24" s="64"/>
      <c r="V24" s="64"/>
    </row>
    <row r="25" ht="13.55" customHeight="1">
      <c r="A25" t="s" s="95">
        <v>58</v>
      </c>
      <c r="B25" s="83" cm="1">
        <f t="array" ref="B25">SUMIF('Cleaned Data'!J1:J1001,A25,'Cleaned Data'!G1:G1001)</f>
        <v>8624025</v>
      </c>
      <c r="C25" s="81" cm="1">
        <f t="array" ref="C25">SUMIF('Cleaned Data'!J1:J1001,A25,'Cleaned Data'!E1:E1001)</f>
        <v>201</v>
      </c>
      <c r="D25" s="81" cm="1">
        <f t="array" ref="D25">COUNTIF('Cleaned Data'!J1:J1001,A25)</f>
        <v>18</v>
      </c>
      <c r="E25" s="93"/>
      <c r="F25" s="64"/>
      <c r="G25" s="64"/>
      <c r="H25" s="64"/>
      <c r="I25" s="64"/>
      <c r="J25" s="64"/>
      <c r="K25" s="64"/>
      <c r="L25" s="64"/>
      <c r="M25" s="64"/>
      <c r="N25" s="64"/>
      <c r="O25" s="64"/>
      <c r="P25" s="64"/>
      <c r="Q25" s="64"/>
      <c r="R25" s="64"/>
      <c r="S25" s="64"/>
      <c r="T25" s="64"/>
      <c r="U25" s="64"/>
      <c r="V25" s="64"/>
    </row>
    <row r="26" ht="13.55" customHeight="1">
      <c r="A26" t="s" s="94">
        <v>59</v>
      </c>
      <c r="B26" s="79" cm="1">
        <f t="array" ref="B26">SUMIF('Cleaned Data'!J1:J1001,A26,'Cleaned Data'!G1:G1001)</f>
        <v>12309760</v>
      </c>
      <c r="C26" s="77" cm="1">
        <f t="array" ref="C26">SUMIF('Cleaned Data'!J1:J1001,A26,'Cleaned Data'!E1:E1001)</f>
        <v>320</v>
      </c>
      <c r="D26" s="77" cm="1">
        <f t="array" ref="D26">COUNTIF('Cleaned Data'!J1:J1001,A26)</f>
        <v>28</v>
      </c>
      <c r="E26" s="93"/>
      <c r="F26" s="64"/>
      <c r="G26" s="64"/>
      <c r="H26" s="64"/>
      <c r="I26" s="64"/>
      <c r="J26" s="64"/>
      <c r="K26" s="64"/>
      <c r="L26" s="64"/>
      <c r="M26" s="64"/>
      <c r="N26" s="64"/>
      <c r="O26" s="64"/>
      <c r="P26" s="64"/>
      <c r="Q26" s="64"/>
      <c r="R26" s="64"/>
      <c r="S26" s="64"/>
      <c r="T26" s="64"/>
      <c r="U26" s="64"/>
      <c r="V26" s="64"/>
    </row>
    <row r="27" ht="13.55" customHeight="1">
      <c r="A27" t="s" s="95">
        <v>60</v>
      </c>
      <c r="B27" s="83" cm="1">
        <f t="array" ref="B27">SUMIF('Cleaned Data'!J1:J1001,A27,'Cleaned Data'!G1:G1001)</f>
        <v>18273456</v>
      </c>
      <c r="C27" s="81" cm="1">
        <f t="array" ref="C27">SUMIF('Cleaned Data'!J1:J1001,A27,'Cleaned Data'!E1:E1001)</f>
        <v>409</v>
      </c>
      <c r="D27" s="81" cm="1">
        <f t="array" ref="D27">COUNTIF('Cleaned Data'!J1:J1001,A27)</f>
        <v>42</v>
      </c>
      <c r="E27" s="93"/>
      <c r="F27" s="64"/>
      <c r="G27" s="64"/>
      <c r="H27" s="64"/>
      <c r="I27" s="64"/>
      <c r="J27" s="64"/>
      <c r="K27" s="64"/>
      <c r="L27" s="64"/>
      <c r="M27" s="64"/>
      <c r="N27" s="64"/>
      <c r="O27" s="64"/>
      <c r="P27" s="64"/>
      <c r="Q27" s="64"/>
      <c r="R27" s="64"/>
      <c r="S27" s="64"/>
      <c r="T27" s="64"/>
      <c r="U27" s="64"/>
      <c r="V27" s="64"/>
    </row>
    <row r="28" ht="13.55" customHeight="1">
      <c r="A28" t="s" s="94">
        <v>61</v>
      </c>
      <c r="B28" s="79" cm="1">
        <f t="array" ref="B28">SUMIF('Cleaned Data'!J1:J1001,A28,'Cleaned Data'!G1:G1001)</f>
        <v>16366844</v>
      </c>
      <c r="C28" s="77" cm="1">
        <f t="array" ref="C28">SUMIF('Cleaned Data'!J1:J1001,A28,'Cleaned Data'!E1:E1001)</f>
        <v>394</v>
      </c>
      <c r="D28" s="77" cm="1">
        <f t="array" ref="D28">COUNTIF('Cleaned Data'!J1:J1001,A28)</f>
        <v>39</v>
      </c>
      <c r="E28" s="93"/>
      <c r="F28" s="64"/>
      <c r="G28" s="64"/>
      <c r="H28" s="64"/>
      <c r="I28" s="64"/>
      <c r="J28" s="64"/>
      <c r="K28" s="64"/>
      <c r="L28" s="64"/>
      <c r="M28" s="64"/>
      <c r="N28" s="64"/>
      <c r="O28" s="64"/>
      <c r="P28" s="64"/>
      <c r="Q28" s="64"/>
      <c r="R28" s="64"/>
      <c r="S28" s="64"/>
      <c r="T28" s="64"/>
      <c r="U28" s="64"/>
      <c r="V28" s="64"/>
    </row>
    <row r="29" ht="13.55" customHeight="1">
      <c r="A29" t="s" s="95">
        <v>62</v>
      </c>
      <c r="B29" s="83" cm="1">
        <f t="array" ref="B29">SUMIF('Cleaned Data'!J1:J1001,A29,'Cleaned Data'!G1:G1001)</f>
        <v>12506851</v>
      </c>
      <c r="C29" s="81" cm="1">
        <f t="array" ref="C29">SUMIF('Cleaned Data'!J1:J1001,A29,'Cleaned Data'!E1:E1001)</f>
        <v>258</v>
      </c>
      <c r="D29" s="81" cm="1">
        <f t="array" ref="D29">COUNTIF('Cleaned Data'!J1:J1001,A29)</f>
        <v>25</v>
      </c>
      <c r="E29" s="93"/>
      <c r="F29" s="64"/>
      <c r="G29" s="64"/>
      <c r="H29" s="64"/>
      <c r="I29" s="64"/>
      <c r="J29" s="64"/>
      <c r="K29" s="64"/>
      <c r="L29" s="64"/>
      <c r="M29" s="64"/>
      <c r="N29" s="64"/>
      <c r="O29" s="64"/>
      <c r="P29" s="64"/>
      <c r="Q29" s="64"/>
      <c r="R29" s="64"/>
      <c r="S29" s="64"/>
      <c r="T29" s="64"/>
      <c r="U29" s="64"/>
      <c r="V29" s="64"/>
    </row>
    <row r="30" ht="13.55" customHeight="1">
      <c r="A30" t="s" s="94">
        <v>63</v>
      </c>
      <c r="B30" s="79" cm="1">
        <f t="array" ref="B30">SUMIF('Cleaned Data'!J1:J1001,A30,'Cleaned Data'!G1:G1001)</f>
        <v>14750263</v>
      </c>
      <c r="C30" s="77" cm="1">
        <f t="array" ref="C30">SUMIF('Cleaned Data'!J1:J1001,A30,'Cleaned Data'!E1:E1001)</f>
        <v>323</v>
      </c>
      <c r="D30" s="77" cm="1">
        <f t="array" ref="D30">COUNTIF('Cleaned Data'!J1:J1001,A30)</f>
        <v>34</v>
      </c>
      <c r="E30" s="93"/>
      <c r="F30" s="64"/>
      <c r="G30" s="64"/>
      <c r="H30" s="64"/>
      <c r="I30" s="64"/>
      <c r="J30" s="64"/>
      <c r="K30" s="64"/>
      <c r="L30" s="64"/>
      <c r="M30" s="64"/>
      <c r="N30" s="64"/>
      <c r="O30" s="64"/>
      <c r="P30" s="64"/>
      <c r="Q30" s="64"/>
      <c r="R30" s="64"/>
      <c r="S30" s="64"/>
      <c r="T30" s="64"/>
      <c r="U30" s="64"/>
      <c r="V30" s="64"/>
    </row>
    <row r="31" ht="13.55" customHeight="1">
      <c r="A31" t="s" s="95">
        <v>64</v>
      </c>
      <c r="B31" s="83" cm="1">
        <f t="array" ref="B31">SUMIF('Cleaned Data'!J1:J1001,A31,'Cleaned Data'!G1:G1001)</f>
        <v>13112174</v>
      </c>
      <c r="C31" s="81" cm="1">
        <f t="array" ref="C31">SUMIF('Cleaned Data'!J1:J1001,A31,'Cleaned Data'!E1:E1001)</f>
        <v>262</v>
      </c>
      <c r="D31" s="81" cm="1">
        <f t="array" ref="D31">COUNTIF('Cleaned Data'!J1:J1001,A31)</f>
        <v>28</v>
      </c>
      <c r="E31" s="93"/>
      <c r="F31" s="64"/>
      <c r="G31" s="64"/>
      <c r="H31" s="64"/>
      <c r="I31" s="64"/>
      <c r="J31" s="64"/>
      <c r="K31" s="64"/>
      <c r="L31" s="64"/>
      <c r="M31" s="64"/>
      <c r="N31" s="64"/>
      <c r="O31" s="64"/>
      <c r="P31" s="64"/>
      <c r="Q31" s="64"/>
      <c r="R31" s="64"/>
      <c r="S31" s="64"/>
      <c r="T31" s="64"/>
      <c r="U31" s="64"/>
      <c r="V31" s="64"/>
    </row>
    <row r="32" ht="13.55" customHeight="1">
      <c r="A32" t="s" s="94">
        <v>65</v>
      </c>
      <c r="B32" s="79" cm="1">
        <f t="array" ref="B32">SUMIF('Cleaned Data'!J1:J1001,A32,'Cleaned Data'!G1:G1001)</f>
        <v>13101015</v>
      </c>
      <c r="C32" s="77" cm="1">
        <f t="array" ref="C32">SUMIF('Cleaned Data'!J1:J1001,A32,'Cleaned Data'!E1:E1001)</f>
        <v>360</v>
      </c>
      <c r="D32" s="77" cm="1">
        <f t="array" ref="D32">COUNTIF('Cleaned Data'!J1:J1001,A32)</f>
        <v>35</v>
      </c>
      <c r="E32" s="93"/>
      <c r="F32" s="64"/>
      <c r="G32" s="64"/>
      <c r="H32" s="64"/>
      <c r="I32" s="64"/>
      <c r="J32" s="64"/>
      <c r="K32" s="64"/>
      <c r="L32" s="64"/>
      <c r="M32" s="64"/>
      <c r="N32" s="64"/>
      <c r="O32" s="64"/>
      <c r="P32" s="64"/>
      <c r="Q32" s="64"/>
      <c r="R32" s="64"/>
      <c r="S32" s="64"/>
      <c r="T32" s="64"/>
      <c r="U32" s="64"/>
      <c r="V32" s="64"/>
    </row>
    <row r="33" ht="13.55" customHeight="1">
      <c r="A33" t="s" s="95">
        <v>66</v>
      </c>
      <c r="B33" s="83" cm="1">
        <f t="array" ref="B33">SUMIF('Cleaned Data'!J1:J1001,A33,'Cleaned Data'!G1:G1001)</f>
        <v>12040328</v>
      </c>
      <c r="C33" s="81" cm="1">
        <f t="array" ref="C33">SUMIF('Cleaned Data'!J1:J1001,A33,'Cleaned Data'!E1:E1001)</f>
        <v>312</v>
      </c>
      <c r="D33" s="81" cm="1">
        <f t="array" ref="D33">COUNTIF('Cleaned Data'!J1:J1001,A33)</f>
        <v>31</v>
      </c>
      <c r="E33" s="93"/>
      <c r="F33" s="64"/>
      <c r="G33" s="64"/>
      <c r="H33" s="64"/>
      <c r="I33" s="64"/>
      <c r="J33" s="64"/>
      <c r="K33" s="64"/>
      <c r="L33" s="64"/>
      <c r="M33" s="64"/>
      <c r="N33" s="64"/>
      <c r="O33" s="64"/>
      <c r="P33" s="64"/>
      <c r="Q33" s="64"/>
      <c r="R33" s="64"/>
      <c r="S33" s="64"/>
      <c r="T33" s="64"/>
      <c r="U33" s="64"/>
      <c r="V33" s="64"/>
    </row>
    <row r="34" ht="13.55" customHeight="1">
      <c r="A34" t="s" s="94">
        <v>67</v>
      </c>
      <c r="B34" s="79" cm="1">
        <f t="array" ref="B34">SUMIF('Cleaned Data'!J1:J1001,A34,'Cleaned Data'!G1:G1001)</f>
        <v>12989579</v>
      </c>
      <c r="C34" s="77" cm="1">
        <f t="array" ref="C34">SUMIF('Cleaned Data'!J1:J1001,A34,'Cleaned Data'!E1:E1001)</f>
        <v>373</v>
      </c>
      <c r="D34" s="77" cm="1">
        <f t="array" ref="D34">COUNTIF('Cleaned Data'!J1:J1001,A34)</f>
        <v>36</v>
      </c>
      <c r="E34" s="93"/>
      <c r="F34" s="64"/>
      <c r="G34" s="64"/>
      <c r="H34" s="64"/>
      <c r="I34" s="64"/>
      <c r="J34" s="64"/>
      <c r="K34" s="64"/>
      <c r="L34" s="64"/>
      <c r="M34" s="64"/>
      <c r="N34" s="64"/>
      <c r="O34" s="64"/>
      <c r="P34" s="64"/>
      <c r="Q34" s="64"/>
      <c r="R34" s="64"/>
      <c r="S34" s="64"/>
      <c r="T34" s="64"/>
      <c r="U34" s="64"/>
      <c r="V34" s="64"/>
    </row>
    <row r="35" ht="13.55" customHeight="1">
      <c r="A35" t="s" s="95">
        <v>68</v>
      </c>
      <c r="B35" s="83" cm="1">
        <f t="array" ref="B35">SUMIF('Cleaned Data'!J1:J1001,A35,'Cleaned Data'!G1:G1001)</f>
        <v>13383989</v>
      </c>
      <c r="C35" s="81" cm="1">
        <f t="array" ref="C35">SUMIF('Cleaned Data'!J1:J1001,A35,'Cleaned Data'!E1:E1001)</f>
        <v>340</v>
      </c>
      <c r="D35" s="81" cm="1">
        <f t="array" ref="D35">COUNTIF('Cleaned Data'!J1:J1001,A35)</f>
        <v>29</v>
      </c>
      <c r="E35" s="93"/>
      <c r="F35" s="64"/>
      <c r="G35" s="64"/>
      <c r="H35" s="64"/>
      <c r="I35" s="64"/>
      <c r="J35" s="64"/>
      <c r="K35" s="64"/>
      <c r="L35" s="64"/>
      <c r="M35" s="64"/>
      <c r="N35" s="64"/>
      <c r="O35" s="64"/>
      <c r="P35" s="64"/>
      <c r="Q35" s="64"/>
      <c r="R35" s="64"/>
      <c r="S35" s="64"/>
      <c r="T35" s="64"/>
      <c r="U35" s="64"/>
      <c r="V35" s="64"/>
    </row>
    <row r="36" ht="13.55" customHeight="1">
      <c r="A36" t="s" s="94">
        <v>69</v>
      </c>
      <c r="B36" s="79" cm="1">
        <f t="array" ref="B36">SUMIF('Cleaned Data'!J1:J1001,A36,'Cleaned Data'!G1:G1001)</f>
        <v>12338414</v>
      </c>
      <c r="C36" s="77" cm="1">
        <f t="array" ref="C36">SUMIF('Cleaned Data'!J1:J1001,A36,'Cleaned Data'!E1:E1001)</f>
        <v>284</v>
      </c>
      <c r="D36" s="77" cm="1">
        <f t="array" ref="D36">COUNTIF('Cleaned Data'!J1:J1001,A36)</f>
        <v>29</v>
      </c>
      <c r="E36" s="93"/>
      <c r="F36" s="64"/>
      <c r="G36" s="64"/>
      <c r="H36" s="64"/>
      <c r="I36" s="64"/>
      <c r="J36" s="64"/>
      <c r="K36" s="64"/>
      <c r="L36" s="64"/>
      <c r="M36" s="64"/>
      <c r="N36" s="64"/>
      <c r="O36" s="64"/>
      <c r="P36" s="64"/>
      <c r="Q36" s="64"/>
      <c r="R36" s="64"/>
      <c r="S36" s="64"/>
      <c r="T36" s="64"/>
      <c r="U36" s="64"/>
      <c r="V36" s="64"/>
    </row>
    <row r="37" ht="13.55" customHeight="1">
      <c r="A37" t="s" s="95">
        <v>70</v>
      </c>
      <c r="B37" s="83" cm="1">
        <f t="array" ref="B37">SUMIF('Cleaned Data'!J1:J1001,A37,'Cleaned Data'!G1:G1001)</f>
        <v>17483959</v>
      </c>
      <c r="C37" s="81" cm="1">
        <f t="array" ref="C37">SUMIF('Cleaned Data'!J1:J1001,A37,'Cleaned Data'!E1:E1001)</f>
        <v>369</v>
      </c>
      <c r="D37" s="81" cm="1">
        <f t="array" ref="D37">COUNTIF('Cleaned Data'!J1:J1001,A37)</f>
        <v>37</v>
      </c>
      <c r="E37" s="93"/>
      <c r="F37" s="64"/>
      <c r="G37" s="64"/>
      <c r="H37" s="64"/>
      <c r="I37" s="64"/>
      <c r="J37" s="64"/>
      <c r="K37" s="64"/>
      <c r="L37" s="64"/>
      <c r="M37" s="64"/>
      <c r="N37" s="64"/>
      <c r="O37" s="64"/>
      <c r="P37" s="64"/>
      <c r="Q37" s="64"/>
      <c r="R37" s="64"/>
      <c r="S37" s="64"/>
      <c r="T37" s="64"/>
      <c r="U37" s="64"/>
      <c r="V37" s="64"/>
    </row>
    <row r="38" ht="13.55" customHeight="1">
      <c r="A38" t="s" s="94">
        <v>71</v>
      </c>
      <c r="B38" s="79" cm="1">
        <f t="array" ref="B38">SUMIF('Cleaned Data'!J1:J1001,A38,'Cleaned Data'!G1:G1001)</f>
        <v>7427694</v>
      </c>
      <c r="C38" s="77" cm="1">
        <f t="array" ref="C38">SUMIF('Cleaned Data'!J1:J1001,A38,'Cleaned Data'!E1:E1001)</f>
        <v>174</v>
      </c>
      <c r="D38" s="77" cm="1">
        <f t="array" ref="D38">COUNTIF('Cleaned Data'!J1:J1001,A38)</f>
        <v>20</v>
      </c>
      <c r="E38" s="93"/>
      <c r="F38" s="64"/>
      <c r="G38" s="64"/>
      <c r="H38" s="64"/>
      <c r="I38" s="64"/>
      <c r="J38" s="64"/>
      <c r="K38" s="64"/>
      <c r="L38" s="64"/>
      <c r="M38" s="64"/>
      <c r="N38" s="64"/>
      <c r="O38" s="64"/>
      <c r="P38" s="64"/>
      <c r="Q38" s="64"/>
      <c r="R38" s="64"/>
      <c r="S38" s="64"/>
      <c r="T38" s="64"/>
      <c r="U38" s="64"/>
      <c r="V38" s="64"/>
    </row>
    <row r="39" ht="13.55" customHeight="1">
      <c r="A39" s="85"/>
      <c r="B39" s="85"/>
      <c r="C39" s="85"/>
      <c r="D39" s="85"/>
      <c r="E39" s="68"/>
      <c r="F39" s="64"/>
      <c r="G39" s="64"/>
      <c r="H39" s="64"/>
      <c r="I39" s="64"/>
      <c r="J39" s="64"/>
      <c r="K39" s="64"/>
      <c r="L39" s="64"/>
      <c r="M39" s="64"/>
      <c r="N39" s="64"/>
      <c r="O39" s="64"/>
      <c r="P39" s="64"/>
      <c r="Q39" s="64"/>
      <c r="R39" s="64"/>
      <c r="S39" s="64"/>
      <c r="T39" s="64"/>
      <c r="U39" s="64"/>
      <c r="V39" s="64"/>
    </row>
    <row r="40" ht="15.35" customHeight="1">
      <c r="A40" t="s" s="90">
        <v>102</v>
      </c>
      <c r="B40" s="91"/>
      <c r="C40" s="91"/>
      <c r="D40" s="91"/>
      <c r="E40" s="91"/>
      <c r="F40" s="72"/>
      <c r="G40" s="64"/>
      <c r="H40" s="64"/>
      <c r="I40" s="64"/>
      <c r="J40" s="64"/>
      <c r="K40" s="64"/>
      <c r="L40" s="64"/>
      <c r="M40" s="64"/>
      <c r="N40" s="64"/>
      <c r="O40" s="64"/>
      <c r="P40" s="64"/>
      <c r="Q40" s="64"/>
      <c r="R40" s="64"/>
      <c r="S40" s="64"/>
      <c r="T40" s="64"/>
      <c r="U40" s="64"/>
      <c r="V40" s="64"/>
    </row>
    <row r="41" ht="13.55" customHeight="1">
      <c r="A41" t="s" s="50">
        <v>19</v>
      </c>
      <c r="B41" t="s" s="50">
        <v>34</v>
      </c>
      <c r="C41" t="s" s="50">
        <v>74</v>
      </c>
      <c r="D41" t="s" s="50">
        <v>93</v>
      </c>
      <c r="E41" t="s" s="50">
        <v>95</v>
      </c>
      <c r="F41" s="74"/>
      <c r="G41" s="64"/>
      <c r="H41" s="64"/>
      <c r="I41" s="64"/>
      <c r="J41" s="64"/>
      <c r="K41" s="64"/>
      <c r="L41" s="64"/>
      <c r="M41" s="64"/>
      <c r="N41" s="64"/>
      <c r="O41" s="64"/>
      <c r="P41" s="64"/>
      <c r="Q41" s="64"/>
      <c r="R41" s="64"/>
      <c r="S41" s="64"/>
      <c r="T41" s="64"/>
      <c r="U41" s="64"/>
      <c r="V41" s="64"/>
    </row>
    <row r="42" ht="13.55" customHeight="1">
      <c r="A42" t="s" s="94">
        <v>20</v>
      </c>
      <c r="B42" s="79" cm="1">
        <f t="array" ref="B42">SUMIF('Cleaned Data'!B1:B1001,A42,'Cleaned Data'!G1:G1001)</f>
        <v>116561640</v>
      </c>
      <c r="C42" s="77" cm="1">
        <f t="array" ref="C42">SUMIF('Cleaned Data'!B1:B1001,A42,'Cleaned Data'!E1:E1001)</f>
        <v>2756</v>
      </c>
      <c r="D42" s="77" cm="1">
        <f t="array" ref="D42">COUNTIF('Cleaned Data'!B1:B1001,A42)</f>
        <v>264</v>
      </c>
      <c r="E42" s="79" cm="1">
        <f t="array" ref="E42">B42/D42</f>
        <v>441521.363636364</v>
      </c>
      <c r="F42" s="74"/>
      <c r="G42" s="64"/>
      <c r="H42" s="64"/>
      <c r="I42" s="64"/>
      <c r="J42" s="64"/>
      <c r="K42" s="64"/>
      <c r="L42" s="64"/>
      <c r="M42" s="64"/>
      <c r="N42" s="64"/>
      <c r="O42" s="64"/>
      <c r="P42" s="64"/>
      <c r="Q42" s="64"/>
      <c r="R42" s="64"/>
      <c r="S42" s="64"/>
      <c r="T42" s="64"/>
      <c r="U42" s="64"/>
      <c r="V42" s="64"/>
    </row>
    <row r="43" ht="13.55" customHeight="1">
      <c r="A43" t="s" s="95">
        <v>21</v>
      </c>
      <c r="B43" s="83" cm="1">
        <f t="array" ref="B43">SUMIF('Cleaned Data'!B1:B1001,A43,'Cleaned Data'!G1:G1001)</f>
        <v>102636420</v>
      </c>
      <c r="C43" s="81" cm="1">
        <f t="array" ref="C43">SUMIF('Cleaned Data'!B1:B1001,A43,'Cleaned Data'!E1:E1001)</f>
        <v>2568</v>
      </c>
      <c r="D43" s="81" cm="1">
        <f t="array" ref="D43">COUNTIF('Cleaned Data'!B1:B1001,A43)</f>
        <v>261</v>
      </c>
      <c r="E43" s="83" cm="1">
        <f t="array" ref="E43">B43/D43</f>
        <v>393242.988505747</v>
      </c>
      <c r="F43" s="74"/>
      <c r="G43" s="64"/>
      <c r="H43" s="64"/>
      <c r="I43" s="64"/>
      <c r="J43" s="64"/>
      <c r="K43" s="64"/>
      <c r="L43" s="64"/>
      <c r="M43" s="64"/>
      <c r="N43" s="64"/>
      <c r="O43" s="64"/>
      <c r="P43" s="64"/>
      <c r="Q43" s="64"/>
      <c r="R43" s="64"/>
      <c r="S43" s="64"/>
      <c r="T43" s="64"/>
      <c r="U43" s="64"/>
      <c r="V43" s="64"/>
    </row>
    <row r="44" ht="13.55" customHeight="1">
      <c r="A44" t="s" s="94">
        <v>22</v>
      </c>
      <c r="B44" s="79" cm="1">
        <f t="array" ref="B44">SUMIF('Cleaned Data'!B1:B1001,A44,'Cleaned Data'!G1:G1001)</f>
        <v>115709237</v>
      </c>
      <c r="C44" s="77" cm="1">
        <f t="array" ref="C44">SUMIF('Cleaned Data'!B1:B1001,A44,'Cleaned Data'!E1:E1001)</f>
        <v>2673</v>
      </c>
      <c r="D44" s="77" cm="1">
        <f t="array" ref="D44">COUNTIF('Cleaned Data'!B1:B1001,A44)</f>
        <v>261</v>
      </c>
      <c r="E44" s="79" cm="1">
        <f t="array" ref="E44">B44/D44</f>
        <v>443330.409961686</v>
      </c>
      <c r="F44" s="74"/>
      <c r="G44" s="64"/>
      <c r="H44" s="64"/>
      <c r="I44" s="64"/>
      <c r="J44" s="64"/>
      <c r="K44" s="64"/>
      <c r="L44" s="64"/>
      <c r="M44" s="64"/>
      <c r="N44" s="64"/>
      <c r="O44" s="64"/>
      <c r="P44" s="64"/>
      <c r="Q44" s="64"/>
      <c r="R44" s="64"/>
      <c r="S44" s="64"/>
      <c r="T44" s="64"/>
      <c r="U44" s="64"/>
      <c r="V44" s="64"/>
    </row>
    <row r="45" ht="13.55" customHeight="1">
      <c r="A45" t="s" s="95">
        <v>23</v>
      </c>
      <c r="B45" s="83" cm="1">
        <f t="array" ref="B45">SUMIF('Cleaned Data'!B1:B1001,A45,'Cleaned Data'!G1:G1001)</f>
        <v>90551648</v>
      </c>
      <c r="C45" s="81" cm="1">
        <f t="array" ref="C45">SUMIF('Cleaned Data'!B1:B1001,A45,'Cleaned Data'!E1:E1001)</f>
        <v>2106</v>
      </c>
      <c r="D45" s="81" cm="1">
        <f t="array" ref="D45">COUNTIF('Cleaned Data'!B1:B1001,A45)</f>
        <v>214</v>
      </c>
      <c r="E45" s="83" cm="1">
        <f t="array" ref="E45">B45/D45</f>
        <v>423138.542056075</v>
      </c>
      <c r="F45" s="74"/>
      <c r="G45" s="64"/>
      <c r="H45" s="64"/>
      <c r="I45" s="64"/>
      <c r="J45" s="64"/>
      <c r="K45" s="64"/>
      <c r="L45" s="64"/>
      <c r="M45" s="64"/>
      <c r="N45" s="64"/>
      <c r="O45" s="64"/>
      <c r="P45" s="64"/>
      <c r="Q45" s="64"/>
      <c r="R45" s="64"/>
      <c r="S45" s="64"/>
      <c r="T45" s="64"/>
      <c r="U45" s="64"/>
      <c r="V45" s="64"/>
    </row>
    <row r="46" ht="13.55" customHeight="1">
      <c r="A46" s="85"/>
      <c r="B46" s="85"/>
      <c r="C46" s="85"/>
      <c r="D46" s="85"/>
      <c r="E46" s="85"/>
      <c r="F46" s="64"/>
      <c r="G46" s="64"/>
      <c r="H46" s="64"/>
      <c r="I46" s="64"/>
      <c r="J46" s="64"/>
      <c r="K46" s="64"/>
      <c r="L46" s="64"/>
      <c r="M46" s="64"/>
      <c r="N46" s="64"/>
      <c r="O46" s="64"/>
      <c r="P46" s="64"/>
      <c r="Q46" s="64"/>
      <c r="R46" s="64"/>
      <c r="S46" s="64"/>
      <c r="T46" s="64"/>
      <c r="U46" s="64"/>
      <c r="V46" s="64"/>
    </row>
    <row r="47" ht="15.35" customHeight="1">
      <c r="A47" t="s" s="90">
        <v>103</v>
      </c>
      <c r="B47" s="91"/>
      <c r="C47" s="91"/>
      <c r="D47" s="91"/>
      <c r="E47" s="91"/>
      <c r="F47" s="72"/>
      <c r="G47" s="64"/>
      <c r="H47" s="64"/>
      <c r="I47" s="64"/>
      <c r="J47" s="64"/>
      <c r="K47" s="64"/>
      <c r="L47" s="64"/>
      <c r="M47" s="64"/>
      <c r="N47" s="64"/>
      <c r="O47" s="64"/>
      <c r="P47" s="64"/>
      <c r="Q47" s="64"/>
      <c r="R47" s="64"/>
      <c r="S47" s="64"/>
      <c r="T47" s="64"/>
      <c r="U47" s="64"/>
      <c r="V47" s="64"/>
    </row>
    <row r="48" ht="13.55" customHeight="1">
      <c r="A48" t="s" s="50">
        <v>19</v>
      </c>
      <c r="B48" t="s" s="50">
        <v>15</v>
      </c>
      <c r="C48" t="s" s="50">
        <v>16</v>
      </c>
      <c r="D48" t="s" s="50">
        <v>17</v>
      </c>
      <c r="E48" t="s" s="50">
        <v>18</v>
      </c>
      <c r="F48" s="74"/>
      <c r="G48" s="64"/>
      <c r="H48" s="64"/>
      <c r="I48" s="64"/>
      <c r="J48" s="64"/>
      <c r="K48" s="64"/>
      <c r="L48" s="64"/>
      <c r="M48" s="64"/>
      <c r="N48" s="64"/>
      <c r="O48" s="64"/>
      <c r="P48" s="64"/>
      <c r="Q48" s="64"/>
      <c r="R48" s="64"/>
      <c r="S48" s="64"/>
      <c r="T48" s="64"/>
      <c r="U48" s="64"/>
      <c r="V48" s="64"/>
    </row>
    <row r="49" ht="13.55" customHeight="1">
      <c r="A49" t="s" s="57">
        <v>20</v>
      </c>
      <c r="B49" s="79" cm="1">
        <f t="array" ref="B49">_xlfn.SUMIFS('Cleaned Data'!G1:G1001,'Cleaned Data'!B1:B1001,$A49,'Cleaned Data'!D1:D1001,B$48)</f>
        <v>29358794</v>
      </c>
      <c r="C49" s="79" cm="1">
        <f t="array" ref="C49">_xlfn.SUMIFS('Cleaned Data'!G1:G1001,'Cleaned Data'!B1:B1001,$A49,'Cleaned Data'!D1:D1001,C$48)</f>
        <v>35086566</v>
      </c>
      <c r="D49" s="79" cm="1">
        <f t="array" ref="D49">_xlfn.SUMIFS('Cleaned Data'!G1:G1001,'Cleaned Data'!B1:B1001,$A49,'Cleaned Data'!D1:D1001,D$48)</f>
        <v>30839845</v>
      </c>
      <c r="E49" s="79" cm="1">
        <f t="array" ref="E49">_xlfn.SUMIFS('Cleaned Data'!G1:G1001,'Cleaned Data'!B1:B1001,$A49,'Cleaned Data'!D1:D1001,E$48)</f>
        <v>21276435</v>
      </c>
      <c r="F49" s="74"/>
      <c r="G49" s="64"/>
      <c r="H49" s="64"/>
      <c r="I49" s="64"/>
      <c r="J49" s="64"/>
      <c r="K49" s="64"/>
      <c r="L49" s="64"/>
      <c r="M49" s="64"/>
      <c r="N49" s="64"/>
      <c r="O49" s="64"/>
      <c r="P49" s="64"/>
      <c r="Q49" s="64"/>
      <c r="R49" s="64"/>
      <c r="S49" s="64"/>
      <c r="T49" s="64"/>
      <c r="U49" s="64"/>
      <c r="V49" s="64"/>
    </row>
    <row r="50" ht="13.55" customHeight="1">
      <c r="A50" t="s" s="57">
        <v>21</v>
      </c>
      <c r="B50" s="83" cm="1">
        <f t="array" ref="B50">_xlfn.SUMIFS('Cleaned Data'!G1:G1001,'Cleaned Data'!B1:B1001,$A50,'Cleaned Data'!D1:D1001,B$48)</f>
        <v>21490676</v>
      </c>
      <c r="C50" s="83" cm="1">
        <f t="array" ref="C50">_xlfn.SUMIFS('Cleaned Data'!G1:G1001,'Cleaned Data'!B1:B1001,$A50,'Cleaned Data'!D1:D1001,C$48)</f>
        <v>30378135</v>
      </c>
      <c r="D50" s="83" cm="1">
        <f t="array" ref="D50">_xlfn.SUMIFS('Cleaned Data'!G1:G1001,'Cleaned Data'!B1:B1001,$A50,'Cleaned Data'!D1:D1001,D$48)</f>
        <v>22930536</v>
      </c>
      <c r="E50" s="83" cm="1">
        <f t="array" ref="E50">_xlfn.SUMIFS('Cleaned Data'!G1:G1001,'Cleaned Data'!B1:B1001,$A50,'Cleaned Data'!D1:D1001,E$48)</f>
        <v>27837073</v>
      </c>
      <c r="F50" s="74"/>
      <c r="G50" s="64"/>
      <c r="H50" s="64"/>
      <c r="I50" s="64"/>
      <c r="J50" s="64"/>
      <c r="K50" s="64"/>
      <c r="L50" s="64"/>
      <c r="M50" s="64"/>
      <c r="N50" s="64"/>
      <c r="O50" s="64"/>
      <c r="P50" s="64"/>
      <c r="Q50" s="64"/>
      <c r="R50" s="64"/>
      <c r="S50" s="64"/>
      <c r="T50" s="64"/>
      <c r="U50" s="64"/>
      <c r="V50" s="64"/>
    </row>
    <row r="51" ht="13.55" customHeight="1">
      <c r="A51" t="s" s="57">
        <v>22</v>
      </c>
      <c r="B51" s="79" cm="1">
        <f t="array" ref="B51">_xlfn.SUMIFS('Cleaned Data'!G1:G1001,'Cleaned Data'!B1:B1001,$A51,'Cleaned Data'!D1:D1001,B$48)</f>
        <v>33245888</v>
      </c>
      <c r="C51" s="79" cm="1">
        <f t="array" ref="C51">_xlfn.SUMIFS('Cleaned Data'!G1:G1001,'Cleaned Data'!B1:B1001,$A51,'Cleaned Data'!D1:D1001,C$48)</f>
        <v>23381022</v>
      </c>
      <c r="D51" s="79" cm="1">
        <f t="array" ref="D51">_xlfn.SUMIFS('Cleaned Data'!G1:G1001,'Cleaned Data'!B1:B1001,$A51,'Cleaned Data'!D1:D1001,D$48)</f>
        <v>27289964</v>
      </c>
      <c r="E51" s="79" cm="1">
        <f t="array" ref="E51">_xlfn.SUMIFS('Cleaned Data'!G1:G1001,'Cleaned Data'!B1:B1001,$A51,'Cleaned Data'!D1:D1001,E$48)</f>
        <v>31792363</v>
      </c>
      <c r="F51" s="74"/>
      <c r="G51" s="64"/>
      <c r="H51" s="64"/>
      <c r="I51" s="64"/>
      <c r="J51" s="64"/>
      <c r="K51" s="64"/>
      <c r="L51" s="64"/>
      <c r="M51" s="64"/>
      <c r="N51" s="64"/>
      <c r="O51" s="64"/>
      <c r="P51" s="64"/>
      <c r="Q51" s="64"/>
      <c r="R51" s="64"/>
      <c r="S51" s="64"/>
      <c r="T51" s="64"/>
      <c r="U51" s="64"/>
      <c r="V51" s="64"/>
    </row>
    <row r="52" ht="13.55" customHeight="1">
      <c r="A52" t="s" s="57">
        <v>23</v>
      </c>
      <c r="B52" s="83" cm="1">
        <f t="array" ref="B52">_xlfn.SUMIFS('Cleaned Data'!G1:G1001,'Cleaned Data'!B1:B1001,$A52,'Cleaned Data'!D1:D1001,B$48)</f>
        <v>24879588</v>
      </c>
      <c r="C52" s="83" cm="1">
        <f t="array" ref="C52">_xlfn.SUMIFS('Cleaned Data'!G1:G1001,'Cleaned Data'!B1:B1001,$A52,'Cleaned Data'!D1:D1001,C$48)</f>
        <v>21269608</v>
      </c>
      <c r="D52" s="83" cm="1">
        <f t="array" ref="D52">_xlfn.SUMIFS('Cleaned Data'!G1:G1001,'Cleaned Data'!B1:B1001,$A52,'Cleaned Data'!D1:D1001,D$48)</f>
        <v>21182001</v>
      </c>
      <c r="E52" s="83" cm="1">
        <f t="array" ref="E52">_xlfn.SUMIFS('Cleaned Data'!G1:G1001,'Cleaned Data'!B1:B1001,$A52,'Cleaned Data'!D1:D1001,E$48)</f>
        <v>23220451</v>
      </c>
      <c r="F52" s="74"/>
      <c r="G52" s="64"/>
      <c r="H52" s="64"/>
      <c r="I52" s="64"/>
      <c r="J52" s="64"/>
      <c r="K52" s="64"/>
      <c r="L52" s="64"/>
      <c r="M52" s="64"/>
      <c r="N52" s="64"/>
      <c r="O52" s="64"/>
      <c r="P52" s="64"/>
      <c r="Q52" s="64"/>
      <c r="R52" s="64"/>
      <c r="S52" s="64"/>
      <c r="T52" s="64"/>
      <c r="U52" s="64"/>
      <c r="V52" s="64"/>
    </row>
    <row r="53" ht="13.55" customHeight="1">
      <c r="A53" s="60"/>
      <c r="B53" s="96"/>
      <c r="C53" s="86"/>
      <c r="D53" s="86"/>
      <c r="E53" s="86"/>
      <c r="F53" s="64"/>
      <c r="G53" s="64"/>
      <c r="H53" s="64"/>
      <c r="I53" s="64"/>
      <c r="J53" s="64"/>
      <c r="K53" s="64"/>
      <c r="L53" s="64"/>
      <c r="M53" s="64"/>
      <c r="N53" s="64"/>
      <c r="O53" s="64"/>
      <c r="P53" s="64"/>
      <c r="Q53" s="64"/>
      <c r="R53" s="64"/>
      <c r="S53" s="64"/>
      <c r="T53" s="64"/>
      <c r="U53" s="64"/>
      <c r="V53" s="64"/>
    </row>
    <row r="54" ht="13.55" customHeight="1">
      <c r="A54" s="60"/>
      <c r="B54" s="93"/>
      <c r="C54" s="65"/>
      <c r="D54" s="65"/>
      <c r="E54" s="65"/>
      <c r="F54" s="64"/>
      <c r="G54" s="64"/>
      <c r="H54" s="64"/>
      <c r="I54" s="64"/>
      <c r="J54" s="64"/>
      <c r="K54" s="64"/>
      <c r="L54" s="64"/>
      <c r="M54" s="64"/>
      <c r="N54" s="64"/>
      <c r="O54" s="64"/>
      <c r="P54" s="64"/>
      <c r="Q54" s="64"/>
      <c r="R54" s="64"/>
      <c r="S54" s="64"/>
      <c r="T54" s="64"/>
      <c r="U54" s="64"/>
      <c r="V54" s="64"/>
    </row>
    <row r="55" ht="13.55" customHeight="1">
      <c r="A55" s="60"/>
      <c r="B55" s="93"/>
      <c r="C55" s="65"/>
      <c r="D55" s="65"/>
      <c r="E55" s="65"/>
      <c r="F55" s="64"/>
      <c r="G55" s="64"/>
      <c r="H55" s="64"/>
      <c r="I55" s="64"/>
      <c r="J55" s="64"/>
      <c r="K55" s="64"/>
      <c r="L55" s="64"/>
      <c r="M55" s="64"/>
      <c r="N55" s="64"/>
      <c r="O55" s="64"/>
      <c r="P55" s="64"/>
      <c r="Q55" s="64"/>
      <c r="R55" s="64"/>
      <c r="S55" s="64"/>
      <c r="T55" s="64"/>
      <c r="U55" s="64"/>
      <c r="V55" s="64"/>
    </row>
    <row r="56" ht="13.55" customHeight="1">
      <c r="A56" s="60"/>
      <c r="B56" s="93"/>
      <c r="C56" s="65"/>
      <c r="D56" s="65"/>
      <c r="E56" s="65"/>
      <c r="F56" s="64"/>
      <c r="G56" s="64"/>
      <c r="H56" s="64"/>
      <c r="I56" s="64"/>
      <c r="J56" s="64"/>
      <c r="K56" s="64"/>
      <c r="L56" s="64"/>
      <c r="M56" s="64"/>
      <c r="N56" s="64"/>
      <c r="O56" s="64"/>
      <c r="P56" s="64"/>
      <c r="Q56" s="64"/>
      <c r="R56" s="64"/>
      <c r="S56" s="64"/>
      <c r="T56" s="64"/>
      <c r="U56" s="64"/>
      <c r="V56" s="64"/>
    </row>
    <row r="57" ht="13.55" customHeight="1">
      <c r="A57" s="60"/>
      <c r="B57" s="93"/>
      <c r="C57" s="65"/>
      <c r="D57" s="65"/>
      <c r="E57" s="65"/>
      <c r="F57" s="64"/>
      <c r="G57" s="64"/>
      <c r="H57" s="64"/>
      <c r="I57" s="64"/>
      <c r="J57" s="64"/>
      <c r="K57" s="64"/>
      <c r="L57" s="64"/>
      <c r="M57" s="64"/>
      <c r="N57" s="64"/>
      <c r="O57" s="64"/>
      <c r="P57" s="64"/>
      <c r="Q57" s="64"/>
      <c r="R57" s="64"/>
      <c r="S57" s="64"/>
      <c r="T57" s="64"/>
      <c r="U57" s="64"/>
      <c r="V57" s="64"/>
    </row>
    <row r="58" ht="13.55" customHeight="1">
      <c r="A58" s="60"/>
      <c r="B58" s="93"/>
      <c r="C58" s="65"/>
      <c r="D58" s="65"/>
      <c r="E58" s="65"/>
      <c r="F58" s="64"/>
      <c r="G58" s="64"/>
      <c r="H58" s="64"/>
      <c r="I58" s="64"/>
      <c r="J58" s="64"/>
      <c r="K58" s="64"/>
      <c r="L58" s="64"/>
      <c r="M58" s="64"/>
      <c r="N58" s="64"/>
      <c r="O58" s="64"/>
      <c r="P58" s="64"/>
      <c r="Q58" s="64"/>
      <c r="R58" s="64"/>
      <c r="S58" s="64"/>
      <c r="T58" s="64"/>
      <c r="U58" s="64"/>
      <c r="V58" s="64"/>
    </row>
    <row r="59" ht="13.55" customHeight="1">
      <c r="A59" s="60"/>
      <c r="B59" s="93"/>
      <c r="C59" s="65"/>
      <c r="D59" s="65"/>
      <c r="E59" s="65"/>
      <c r="F59" s="64"/>
      <c r="G59" s="64"/>
      <c r="H59" s="64"/>
      <c r="I59" s="64"/>
      <c r="J59" s="64"/>
      <c r="K59" s="64"/>
      <c r="L59" s="64"/>
      <c r="M59" s="64"/>
      <c r="N59" s="64"/>
      <c r="O59" s="64"/>
      <c r="P59" s="64"/>
      <c r="Q59" s="64"/>
      <c r="R59" s="64"/>
      <c r="S59" s="64"/>
      <c r="T59" s="64"/>
      <c r="U59" s="64"/>
      <c r="V59" s="64"/>
    </row>
    <row r="60" ht="13.55" customHeight="1">
      <c r="A60" s="60"/>
      <c r="B60" s="93"/>
      <c r="C60" s="65"/>
      <c r="D60" s="65"/>
      <c r="E60" s="65"/>
      <c r="F60" s="64"/>
      <c r="G60" s="64"/>
      <c r="H60" s="64"/>
      <c r="I60" s="64"/>
      <c r="J60" s="64"/>
      <c r="K60" s="64"/>
      <c r="L60" s="64"/>
      <c r="M60" s="64"/>
      <c r="N60" s="64"/>
      <c r="O60" s="64"/>
      <c r="P60" s="64"/>
      <c r="Q60" s="64"/>
      <c r="R60" s="64"/>
      <c r="S60" s="64"/>
      <c r="T60" s="64"/>
      <c r="U60" s="64"/>
      <c r="V60" s="64"/>
    </row>
    <row r="61" ht="13.55" customHeight="1">
      <c r="A61" s="60"/>
      <c r="B61" s="93"/>
      <c r="C61" s="65"/>
      <c r="D61" s="65"/>
      <c r="E61" s="65"/>
      <c r="F61" s="64"/>
      <c r="G61" s="64"/>
      <c r="H61" s="64"/>
      <c r="I61" s="64"/>
      <c r="J61" s="64"/>
      <c r="K61" s="64"/>
      <c r="L61" s="64"/>
      <c r="M61" s="64"/>
      <c r="N61" s="64"/>
      <c r="O61" s="64"/>
      <c r="P61" s="64"/>
      <c r="Q61" s="64"/>
      <c r="R61" s="64"/>
      <c r="S61" s="64"/>
      <c r="T61" s="64"/>
      <c r="U61" s="64"/>
      <c r="V61" s="64"/>
    </row>
    <row r="62" ht="13.55" customHeight="1">
      <c r="A62" s="60"/>
      <c r="B62" s="93"/>
      <c r="C62" s="65"/>
      <c r="D62" s="65"/>
      <c r="E62" s="65"/>
      <c r="F62" s="64"/>
      <c r="G62" s="64"/>
      <c r="H62" s="64"/>
      <c r="I62" s="64"/>
      <c r="J62" s="64"/>
      <c r="K62" s="64"/>
      <c r="L62" s="64"/>
      <c r="M62" s="64"/>
      <c r="N62" s="64"/>
      <c r="O62" s="64"/>
      <c r="P62" s="64"/>
      <c r="Q62" s="64"/>
      <c r="R62" s="64"/>
      <c r="S62" s="64"/>
      <c r="T62" s="64"/>
      <c r="U62" s="64"/>
      <c r="V62" s="64"/>
    </row>
    <row r="63" ht="13.55" customHeight="1">
      <c r="A63" s="60"/>
      <c r="B63" s="93"/>
      <c r="C63" s="65"/>
      <c r="D63" s="65"/>
      <c r="E63" s="65"/>
      <c r="F63" s="64"/>
      <c r="G63" s="64"/>
      <c r="H63" s="64"/>
      <c r="I63" s="64"/>
      <c r="J63" s="64"/>
      <c r="K63" s="64"/>
      <c r="L63" s="64"/>
      <c r="M63" s="64"/>
      <c r="N63" s="64"/>
      <c r="O63" s="64"/>
      <c r="P63" s="64"/>
      <c r="Q63" s="64"/>
      <c r="R63" s="64"/>
      <c r="S63" s="64"/>
      <c r="T63" s="64"/>
      <c r="U63" s="64"/>
      <c r="V63" s="64"/>
    </row>
    <row r="64" ht="13.55" customHeight="1">
      <c r="A64" s="60"/>
      <c r="B64" s="93"/>
      <c r="C64" s="65"/>
      <c r="D64" s="65"/>
      <c r="E64" s="65"/>
      <c r="F64" s="64"/>
      <c r="G64" s="64"/>
      <c r="H64" s="64"/>
      <c r="I64" s="64"/>
      <c r="J64" s="64"/>
      <c r="K64" s="64"/>
      <c r="L64" s="64"/>
      <c r="M64" s="64"/>
      <c r="N64" s="64"/>
      <c r="O64" s="64"/>
      <c r="P64" s="64"/>
      <c r="Q64" s="64"/>
      <c r="R64" s="64"/>
      <c r="S64" s="64"/>
      <c r="T64" s="64"/>
      <c r="U64" s="64"/>
      <c r="V64" s="64"/>
    </row>
    <row r="65" ht="13.55" customHeight="1">
      <c r="A65" s="60"/>
      <c r="B65" s="93"/>
      <c r="C65" s="65"/>
      <c r="D65" s="65"/>
      <c r="E65" s="65"/>
      <c r="F65" s="64"/>
      <c r="G65" s="64"/>
      <c r="H65" s="64"/>
      <c r="I65" s="64"/>
      <c r="J65" s="64"/>
      <c r="K65" s="64"/>
      <c r="L65" s="64"/>
      <c r="M65" s="64"/>
      <c r="N65" s="64"/>
      <c r="O65" s="64"/>
      <c r="P65" s="64"/>
      <c r="Q65" s="64"/>
      <c r="R65" s="64"/>
      <c r="S65" s="64"/>
      <c r="T65" s="64"/>
      <c r="U65" s="64"/>
      <c r="V65" s="64"/>
    </row>
    <row r="66" ht="13.55" customHeight="1">
      <c r="A66" s="60"/>
      <c r="B66" s="93"/>
      <c r="C66" s="65"/>
      <c r="D66" s="65"/>
      <c r="E66" s="65"/>
      <c r="F66" s="64"/>
      <c r="G66" s="64"/>
      <c r="H66" s="64"/>
      <c r="I66" s="64"/>
      <c r="J66" s="64"/>
      <c r="K66" s="64"/>
      <c r="L66" s="64"/>
      <c r="M66" s="64"/>
      <c r="N66" s="64"/>
      <c r="O66" s="64"/>
      <c r="P66" s="64"/>
      <c r="Q66" s="64"/>
      <c r="R66" s="64"/>
      <c r="S66" s="64"/>
      <c r="T66" s="64"/>
      <c r="U66" s="64"/>
      <c r="V66" s="64"/>
    </row>
    <row r="67" ht="13.55" customHeight="1">
      <c r="A67" s="60"/>
      <c r="B67" s="93"/>
      <c r="C67" s="65"/>
      <c r="D67" s="65"/>
      <c r="E67" s="65"/>
      <c r="F67" s="64"/>
      <c r="G67" s="64"/>
      <c r="H67" s="64"/>
      <c r="I67" s="64"/>
      <c r="J67" s="64"/>
      <c r="K67" s="64"/>
      <c r="L67" s="64"/>
      <c r="M67" s="64"/>
      <c r="N67" s="64"/>
      <c r="O67" s="64"/>
      <c r="P67" s="64"/>
      <c r="Q67" s="64"/>
      <c r="R67" s="64"/>
      <c r="S67" s="64"/>
      <c r="T67" s="64"/>
      <c r="U67" s="64"/>
      <c r="V67" s="64"/>
    </row>
    <row r="68" ht="13.55" customHeight="1">
      <c r="A68" s="60"/>
      <c r="B68" s="93"/>
      <c r="C68" s="65"/>
      <c r="D68" s="65"/>
      <c r="E68" s="65"/>
      <c r="F68" s="64"/>
      <c r="G68" s="64"/>
      <c r="H68" s="64"/>
      <c r="I68" s="64"/>
      <c r="J68" s="64"/>
      <c r="K68" s="64"/>
      <c r="L68" s="64"/>
      <c r="M68" s="64"/>
      <c r="N68" s="64"/>
      <c r="O68" s="64"/>
      <c r="P68" s="64"/>
      <c r="Q68" s="64"/>
      <c r="R68" s="64"/>
      <c r="S68" s="64"/>
      <c r="T68" s="64"/>
      <c r="U68" s="64"/>
      <c r="V68" s="64"/>
    </row>
    <row r="69" ht="13.55" customHeight="1">
      <c r="A69" s="60"/>
      <c r="B69" s="93"/>
      <c r="C69" s="65"/>
      <c r="D69" s="65"/>
      <c r="E69" s="65"/>
      <c r="F69" s="64"/>
      <c r="G69" s="64"/>
      <c r="H69" s="64"/>
      <c r="I69" s="64"/>
      <c r="J69" s="64"/>
      <c r="K69" s="64"/>
      <c r="L69" s="64"/>
      <c r="M69" s="64"/>
      <c r="N69" s="64"/>
      <c r="O69" s="64"/>
      <c r="P69" s="64"/>
      <c r="Q69" s="64"/>
      <c r="R69" s="64"/>
      <c r="S69" s="64"/>
      <c r="T69" s="64"/>
      <c r="U69" s="64"/>
      <c r="V69" s="64"/>
    </row>
    <row r="70" ht="13.55" customHeight="1">
      <c r="A70" s="60"/>
      <c r="B70" s="93"/>
      <c r="C70" s="65"/>
      <c r="D70" s="65"/>
      <c r="E70" s="65"/>
      <c r="F70" s="64"/>
      <c r="G70" s="64"/>
      <c r="H70" s="64"/>
      <c r="I70" s="64"/>
      <c r="J70" s="64"/>
      <c r="K70" s="64"/>
      <c r="L70" s="64"/>
      <c r="M70" s="64"/>
      <c r="N70" s="64"/>
      <c r="O70" s="64"/>
      <c r="P70" s="64"/>
      <c r="Q70" s="64"/>
      <c r="R70" s="64"/>
      <c r="S70" s="64"/>
      <c r="T70" s="64"/>
      <c r="U70" s="64"/>
      <c r="V70" s="64"/>
    </row>
    <row r="71" ht="13.55" customHeight="1">
      <c r="A71" s="60"/>
      <c r="B71" s="93"/>
      <c r="C71" s="65"/>
      <c r="D71" s="65"/>
      <c r="E71" s="65"/>
      <c r="F71" s="64"/>
      <c r="G71" s="64"/>
      <c r="H71" s="64"/>
      <c r="I71" s="64"/>
      <c r="J71" s="64"/>
      <c r="K71" s="64"/>
      <c r="L71" s="64"/>
      <c r="M71" s="64"/>
      <c r="N71" s="64"/>
      <c r="O71" s="64"/>
      <c r="P71" s="64"/>
      <c r="Q71" s="64"/>
      <c r="R71" s="64"/>
      <c r="S71" s="64"/>
      <c r="T71" s="64"/>
      <c r="U71" s="64"/>
      <c r="V71" s="64"/>
    </row>
    <row r="72" ht="13.55" customHeight="1">
      <c r="A72" s="60"/>
      <c r="B72" s="93"/>
      <c r="C72" s="65"/>
      <c r="D72" s="65"/>
      <c r="E72" s="65"/>
      <c r="F72" s="64"/>
      <c r="G72" s="64"/>
      <c r="H72" s="64"/>
      <c r="I72" s="64"/>
      <c r="J72" s="64"/>
      <c r="K72" s="64"/>
      <c r="L72" s="64"/>
      <c r="M72" s="64"/>
      <c r="N72" s="64"/>
      <c r="O72" s="64"/>
      <c r="P72" s="64"/>
      <c r="Q72" s="64"/>
      <c r="R72" s="64"/>
      <c r="S72" s="64"/>
      <c r="T72" s="64"/>
      <c r="U72" s="64"/>
      <c r="V72" s="64"/>
    </row>
    <row r="73" ht="13.55" customHeight="1">
      <c r="A73" s="60"/>
      <c r="B73" s="93"/>
      <c r="C73" s="65"/>
      <c r="D73" s="65"/>
      <c r="E73" s="65"/>
      <c r="F73" s="64"/>
      <c r="G73" s="64"/>
      <c r="H73" s="64"/>
      <c r="I73" s="64"/>
      <c r="J73" s="64"/>
      <c r="K73" s="64"/>
      <c r="L73" s="64"/>
      <c r="M73" s="64"/>
      <c r="N73" s="64"/>
      <c r="O73" s="64"/>
      <c r="P73" s="64"/>
      <c r="Q73" s="64"/>
      <c r="R73" s="64"/>
      <c r="S73" s="64"/>
      <c r="T73" s="64"/>
      <c r="U73" s="64"/>
      <c r="V73" s="64"/>
    </row>
    <row r="74" ht="13.55" customHeight="1">
      <c r="A74" s="60"/>
      <c r="B74" s="93"/>
      <c r="C74" s="65"/>
      <c r="D74" s="65"/>
      <c r="E74" s="65"/>
      <c r="F74" s="64"/>
      <c r="G74" s="64"/>
      <c r="H74" s="64"/>
      <c r="I74" s="64"/>
      <c r="J74" s="64"/>
      <c r="K74" s="64"/>
      <c r="L74" s="64"/>
      <c r="M74" s="64"/>
      <c r="N74" s="64"/>
      <c r="O74" s="64"/>
      <c r="P74" s="64"/>
      <c r="Q74" s="64"/>
      <c r="R74" s="64"/>
      <c r="S74" s="64"/>
      <c r="T74" s="64"/>
      <c r="U74" s="64"/>
      <c r="V74" s="64"/>
    </row>
    <row r="75" ht="13.55" customHeight="1">
      <c r="A75" s="60"/>
      <c r="B75" s="93"/>
      <c r="C75" s="65"/>
      <c r="D75" s="65"/>
      <c r="E75" s="65"/>
      <c r="F75" s="64"/>
      <c r="G75" s="64"/>
      <c r="H75" s="64"/>
      <c r="I75" s="64"/>
      <c r="J75" s="64"/>
      <c r="K75" s="64"/>
      <c r="L75" s="64"/>
      <c r="M75" s="64"/>
      <c r="N75" s="64"/>
      <c r="O75" s="64"/>
      <c r="P75" s="64"/>
      <c r="Q75" s="64"/>
      <c r="R75" s="64"/>
      <c r="S75" s="64"/>
      <c r="T75" s="64"/>
      <c r="U75" s="64"/>
      <c r="V75" s="64"/>
    </row>
    <row r="76" ht="13.55" customHeight="1">
      <c r="A76" s="60"/>
      <c r="B76" s="93"/>
      <c r="C76" s="65"/>
      <c r="D76" s="65"/>
      <c r="E76" s="65"/>
      <c r="F76" s="64"/>
      <c r="G76" s="64"/>
      <c r="H76" s="64"/>
      <c r="I76" s="64"/>
      <c r="J76" s="64"/>
      <c r="K76" s="64"/>
      <c r="L76" s="64"/>
      <c r="M76" s="64"/>
      <c r="N76" s="64"/>
      <c r="O76" s="64"/>
      <c r="P76" s="64"/>
      <c r="Q76" s="64"/>
      <c r="R76" s="64"/>
      <c r="S76" s="64"/>
      <c r="T76" s="64"/>
      <c r="U76" s="64"/>
      <c r="V76" s="64"/>
    </row>
    <row r="77" ht="13.55" customHeight="1">
      <c r="A77" s="60"/>
      <c r="B77" s="93"/>
      <c r="C77" s="65"/>
      <c r="D77" s="65"/>
      <c r="E77" s="65"/>
      <c r="F77" s="64"/>
      <c r="G77" s="64"/>
      <c r="H77" s="64"/>
      <c r="I77" s="64"/>
      <c r="J77" s="64"/>
      <c r="K77" s="64"/>
      <c r="L77" s="64"/>
      <c r="M77" s="64"/>
      <c r="N77" s="64"/>
      <c r="O77" s="64"/>
      <c r="P77" s="64"/>
      <c r="Q77" s="64"/>
      <c r="R77" s="64"/>
      <c r="S77" s="64"/>
      <c r="T77" s="64"/>
      <c r="U77" s="64"/>
      <c r="V77" s="64"/>
    </row>
    <row r="78" ht="13.55" customHeight="1">
      <c r="A78" s="60"/>
      <c r="B78" s="93"/>
      <c r="C78" s="65"/>
      <c r="D78" s="65"/>
      <c r="E78" s="65"/>
      <c r="F78" s="64"/>
      <c r="G78" s="64"/>
      <c r="H78" s="64"/>
      <c r="I78" s="64"/>
      <c r="J78" s="64"/>
      <c r="K78" s="64"/>
      <c r="L78" s="64"/>
      <c r="M78" s="64"/>
      <c r="N78" s="64"/>
      <c r="O78" s="64"/>
      <c r="P78" s="64"/>
      <c r="Q78" s="64"/>
      <c r="R78" s="64"/>
      <c r="S78" s="64"/>
      <c r="T78" s="64"/>
      <c r="U78" s="64"/>
      <c r="V78" s="64"/>
    </row>
    <row r="79" ht="13.55" customHeight="1">
      <c r="A79" s="60"/>
      <c r="B79" s="93"/>
      <c r="C79" s="65"/>
      <c r="D79" s="65"/>
      <c r="E79" s="65"/>
      <c r="F79" s="64"/>
      <c r="G79" s="64"/>
      <c r="H79" s="64"/>
      <c r="I79" s="64"/>
      <c r="J79" s="64"/>
      <c r="K79" s="64"/>
      <c r="L79" s="64"/>
      <c r="M79" s="64"/>
      <c r="N79" s="64"/>
      <c r="O79" s="64"/>
      <c r="P79" s="64"/>
      <c r="Q79" s="64"/>
      <c r="R79" s="64"/>
      <c r="S79" s="64"/>
      <c r="T79" s="64"/>
      <c r="U79" s="64"/>
      <c r="V79" s="64"/>
    </row>
    <row r="80" ht="13.55" customHeight="1">
      <c r="A80" s="60"/>
      <c r="B80" s="93"/>
      <c r="C80" s="65"/>
      <c r="D80" s="65"/>
      <c r="E80" s="65"/>
      <c r="F80" s="64"/>
      <c r="G80" s="64"/>
      <c r="H80" s="64"/>
      <c r="I80" s="64"/>
      <c r="J80" s="64"/>
      <c r="K80" s="64"/>
      <c r="L80" s="64"/>
      <c r="M80" s="64"/>
      <c r="N80" s="64"/>
      <c r="O80" s="64"/>
      <c r="P80" s="64"/>
      <c r="Q80" s="64"/>
      <c r="R80" s="64"/>
      <c r="S80" s="64"/>
      <c r="T80" s="64"/>
      <c r="U80" s="64"/>
      <c r="V80" s="64"/>
    </row>
    <row r="81" ht="13.55" customHeight="1">
      <c r="A81" s="60"/>
      <c r="B81" s="93"/>
      <c r="C81" s="65"/>
      <c r="D81" s="65"/>
      <c r="E81" s="65"/>
      <c r="F81" s="64"/>
      <c r="G81" s="64"/>
      <c r="H81" s="64"/>
      <c r="I81" s="64"/>
      <c r="J81" s="64"/>
      <c r="K81" s="64"/>
      <c r="L81" s="64"/>
      <c r="M81" s="64"/>
      <c r="N81" s="64"/>
      <c r="O81" s="64"/>
      <c r="P81" s="64"/>
      <c r="Q81" s="64"/>
      <c r="R81" s="64"/>
      <c r="S81" s="64"/>
      <c r="T81" s="64"/>
      <c r="U81" s="64"/>
      <c r="V81" s="64"/>
    </row>
    <row r="82" ht="13.55" customHeight="1">
      <c r="A82" s="60"/>
      <c r="B82" s="93"/>
      <c r="C82" s="65"/>
      <c r="D82" s="65"/>
      <c r="E82" s="65"/>
      <c r="F82" s="64"/>
      <c r="G82" s="64"/>
      <c r="H82" s="64"/>
      <c r="I82" s="64"/>
      <c r="J82" s="64"/>
      <c r="K82" s="64"/>
      <c r="L82" s="64"/>
      <c r="M82" s="64"/>
      <c r="N82" s="64"/>
      <c r="O82" s="64"/>
      <c r="P82" s="64"/>
      <c r="Q82" s="64"/>
      <c r="R82" s="64"/>
      <c r="S82" s="64"/>
      <c r="T82" s="64"/>
      <c r="U82" s="64"/>
      <c r="V82" s="64"/>
    </row>
    <row r="83" ht="13.55" customHeight="1">
      <c r="A83" s="60"/>
      <c r="B83" s="93"/>
      <c r="C83" s="65"/>
      <c r="D83" s="65"/>
      <c r="E83" s="65"/>
      <c r="F83" s="64"/>
      <c r="G83" s="64"/>
      <c r="H83" s="64"/>
      <c r="I83" s="64"/>
      <c r="J83" s="64"/>
      <c r="K83" s="64"/>
      <c r="L83" s="64"/>
      <c r="M83" s="64"/>
      <c r="N83" s="64"/>
      <c r="O83" s="64"/>
      <c r="P83" s="64"/>
      <c r="Q83" s="64"/>
      <c r="R83" s="64"/>
      <c r="S83" s="64"/>
      <c r="T83" s="64"/>
      <c r="U83" s="64"/>
      <c r="V83" s="64"/>
    </row>
    <row r="84" ht="13.55" customHeight="1">
      <c r="A84" s="60"/>
      <c r="B84" s="93"/>
      <c r="C84" s="65"/>
      <c r="D84" s="65"/>
      <c r="E84" s="65"/>
      <c r="F84" s="64"/>
      <c r="G84" s="64"/>
      <c r="H84" s="64"/>
      <c r="I84" s="64"/>
      <c r="J84" s="64"/>
      <c r="K84" s="64"/>
      <c r="L84" s="64"/>
      <c r="M84" s="64"/>
      <c r="N84" s="64"/>
      <c r="O84" s="64"/>
      <c r="P84" s="64"/>
      <c r="Q84" s="64"/>
      <c r="R84" s="64"/>
      <c r="S84" s="64"/>
      <c r="T84" s="64"/>
      <c r="U84" s="64"/>
      <c r="V84" s="64"/>
    </row>
    <row r="85" ht="13.55" customHeight="1">
      <c r="A85" s="60"/>
      <c r="B85" s="93"/>
      <c r="C85" s="65"/>
      <c r="D85" s="65"/>
      <c r="E85" s="65"/>
      <c r="F85" s="64"/>
      <c r="G85" s="64"/>
      <c r="H85" s="64"/>
      <c r="I85" s="64"/>
      <c r="J85" s="64"/>
      <c r="K85" s="64"/>
      <c r="L85" s="64"/>
      <c r="M85" s="64"/>
      <c r="N85" s="64"/>
      <c r="O85" s="64"/>
      <c r="P85" s="64"/>
      <c r="Q85" s="64"/>
      <c r="R85" s="64"/>
      <c r="S85" s="64"/>
      <c r="T85" s="64"/>
      <c r="U85" s="64"/>
      <c r="V85" s="64"/>
    </row>
    <row r="86" ht="13.55" customHeight="1">
      <c r="A86" s="60"/>
      <c r="B86" s="93"/>
      <c r="C86" s="65"/>
      <c r="D86" s="65"/>
      <c r="E86" s="65"/>
      <c r="F86" s="64"/>
      <c r="G86" s="64"/>
      <c r="H86" s="64"/>
      <c r="I86" s="64"/>
      <c r="J86" s="64"/>
      <c r="K86" s="64"/>
      <c r="L86" s="64"/>
      <c r="M86" s="64"/>
      <c r="N86" s="64"/>
      <c r="O86" s="64"/>
      <c r="P86" s="64"/>
      <c r="Q86" s="64"/>
      <c r="R86" s="64"/>
      <c r="S86" s="64"/>
      <c r="T86" s="64"/>
      <c r="U86" s="64"/>
      <c r="V86" s="64"/>
    </row>
    <row r="87" ht="13.55" customHeight="1">
      <c r="A87" s="60"/>
      <c r="B87" s="93"/>
      <c r="C87" s="65"/>
      <c r="D87" s="65"/>
      <c r="E87" s="65"/>
      <c r="F87" s="64"/>
      <c r="G87" s="64"/>
      <c r="H87" s="64"/>
      <c r="I87" s="64"/>
      <c r="J87" s="64"/>
      <c r="K87" s="64"/>
      <c r="L87" s="64"/>
      <c r="M87" s="64"/>
      <c r="N87" s="64"/>
      <c r="O87" s="64"/>
      <c r="P87" s="64"/>
      <c r="Q87" s="64"/>
      <c r="R87" s="64"/>
      <c r="S87" s="64"/>
      <c r="T87" s="64"/>
      <c r="U87" s="64"/>
      <c r="V87" s="64"/>
    </row>
    <row r="88" ht="13.55" customHeight="1">
      <c r="A88" s="60"/>
      <c r="B88" s="93"/>
      <c r="C88" s="65"/>
      <c r="D88" s="65"/>
      <c r="E88" s="65"/>
      <c r="F88" s="64"/>
      <c r="G88" s="64"/>
      <c r="H88" s="64"/>
      <c r="I88" s="64"/>
      <c r="J88" s="64"/>
      <c r="K88" s="64"/>
      <c r="L88" s="64"/>
      <c r="M88" s="64"/>
      <c r="N88" s="64"/>
      <c r="O88" s="64"/>
      <c r="P88" s="64"/>
      <c r="Q88" s="64"/>
      <c r="R88" s="64"/>
      <c r="S88" s="64"/>
      <c r="T88" s="64"/>
      <c r="U88" s="64"/>
      <c r="V88" s="64"/>
    </row>
    <row r="89" ht="13.55" customHeight="1">
      <c r="A89" s="60"/>
      <c r="B89" s="93"/>
      <c r="C89" s="65"/>
      <c r="D89" s="65"/>
      <c r="E89" s="65"/>
      <c r="F89" s="64"/>
      <c r="G89" s="64"/>
      <c r="H89" s="64"/>
      <c r="I89" s="64"/>
      <c r="J89" s="64"/>
      <c r="K89" s="64"/>
      <c r="L89" s="64"/>
      <c r="M89" s="64"/>
      <c r="N89" s="64"/>
      <c r="O89" s="64"/>
      <c r="P89" s="64"/>
      <c r="Q89" s="64"/>
      <c r="R89" s="64"/>
      <c r="S89" s="64"/>
      <c r="T89" s="64"/>
      <c r="U89" s="64"/>
      <c r="V89" s="64"/>
    </row>
    <row r="90" ht="13.55" customHeight="1">
      <c r="A90" s="60"/>
      <c r="B90" s="93"/>
      <c r="C90" s="65"/>
      <c r="D90" s="65"/>
      <c r="E90" s="65"/>
      <c r="F90" s="64"/>
      <c r="G90" s="64"/>
      <c r="H90" s="64"/>
      <c r="I90" s="64"/>
      <c r="J90" s="64"/>
      <c r="K90" s="64"/>
      <c r="L90" s="64"/>
      <c r="M90" s="64"/>
      <c r="N90" s="64"/>
      <c r="O90" s="64"/>
      <c r="P90" s="64"/>
      <c r="Q90" s="64"/>
      <c r="R90" s="64"/>
      <c r="S90" s="64"/>
      <c r="T90" s="64"/>
      <c r="U90" s="64"/>
      <c r="V90" s="64"/>
    </row>
    <row r="91" ht="13.55" customHeight="1">
      <c r="A91" s="60"/>
      <c r="B91" s="93"/>
      <c r="C91" s="65"/>
      <c r="D91" s="65"/>
      <c r="E91" s="65"/>
      <c r="F91" s="64"/>
      <c r="G91" s="64"/>
      <c r="H91" s="64"/>
      <c r="I91" s="64"/>
      <c r="J91" s="64"/>
      <c r="K91" s="64"/>
      <c r="L91" s="64"/>
      <c r="M91" s="64"/>
      <c r="N91" s="64"/>
      <c r="O91" s="64"/>
      <c r="P91" s="64"/>
      <c r="Q91" s="64"/>
      <c r="R91" s="64"/>
      <c r="S91" s="64"/>
      <c r="T91" s="64"/>
      <c r="U91" s="64"/>
      <c r="V91" s="64"/>
    </row>
    <row r="92" ht="13.55" customHeight="1">
      <c r="A92" s="60"/>
      <c r="B92" s="93"/>
      <c r="C92" s="65"/>
      <c r="D92" s="65"/>
      <c r="E92" s="65"/>
      <c r="F92" s="64"/>
      <c r="G92" s="64"/>
      <c r="H92" s="64"/>
      <c r="I92" s="64"/>
      <c r="J92" s="64"/>
      <c r="K92" s="64"/>
      <c r="L92" s="64"/>
      <c r="M92" s="64"/>
      <c r="N92" s="64"/>
      <c r="O92" s="64"/>
      <c r="P92" s="64"/>
      <c r="Q92" s="64"/>
      <c r="R92" s="64"/>
      <c r="S92" s="64"/>
      <c r="T92" s="64"/>
      <c r="U92" s="64"/>
      <c r="V92" s="64"/>
    </row>
    <row r="93" ht="13.55" customHeight="1">
      <c r="A93" s="60"/>
      <c r="B93" s="93"/>
      <c r="C93" s="65"/>
      <c r="D93" s="65"/>
      <c r="E93" s="65"/>
      <c r="F93" s="64"/>
      <c r="G93" s="64"/>
      <c r="H93" s="64"/>
      <c r="I93" s="64"/>
      <c r="J93" s="64"/>
      <c r="K93" s="64"/>
      <c r="L93" s="64"/>
      <c r="M93" s="64"/>
      <c r="N93" s="64"/>
      <c r="O93" s="64"/>
      <c r="P93" s="64"/>
      <c r="Q93" s="64"/>
      <c r="R93" s="64"/>
      <c r="S93" s="64"/>
      <c r="T93" s="64"/>
      <c r="U93" s="64"/>
      <c r="V93" s="64"/>
    </row>
    <row r="94" ht="13.55" customHeight="1">
      <c r="A94" s="60"/>
      <c r="B94" s="93"/>
      <c r="C94" s="65"/>
      <c r="D94" s="65"/>
      <c r="E94" s="65"/>
      <c r="F94" s="64"/>
      <c r="G94" s="64"/>
      <c r="H94" s="64"/>
      <c r="I94" s="64"/>
      <c r="J94" s="64"/>
      <c r="K94" s="64"/>
      <c r="L94" s="64"/>
      <c r="M94" s="64"/>
      <c r="N94" s="64"/>
      <c r="O94" s="64"/>
      <c r="P94" s="64"/>
      <c r="Q94" s="64"/>
      <c r="R94" s="64"/>
      <c r="S94" s="64"/>
      <c r="T94" s="64"/>
      <c r="U94" s="64"/>
      <c r="V94" s="64"/>
    </row>
    <row r="95" ht="13.55" customHeight="1">
      <c r="A95" s="60"/>
      <c r="B95" s="93"/>
      <c r="C95" s="65"/>
      <c r="D95" s="65"/>
      <c r="E95" s="65"/>
      <c r="F95" s="64"/>
      <c r="G95" s="64"/>
      <c r="H95" s="64"/>
      <c r="I95" s="64"/>
      <c r="J95" s="64"/>
      <c r="K95" s="64"/>
      <c r="L95" s="64"/>
      <c r="M95" s="64"/>
      <c r="N95" s="64"/>
      <c r="O95" s="64"/>
      <c r="P95" s="64"/>
      <c r="Q95" s="64"/>
      <c r="R95" s="64"/>
      <c r="S95" s="64"/>
      <c r="T95" s="64"/>
      <c r="U95" s="64"/>
      <c r="V95" s="64"/>
    </row>
    <row r="96" ht="13.55" customHeight="1">
      <c r="A96" s="60"/>
      <c r="B96" s="93"/>
      <c r="C96" s="65"/>
      <c r="D96" s="65"/>
      <c r="E96" s="65"/>
      <c r="F96" s="64"/>
      <c r="G96" s="64"/>
      <c r="H96" s="64"/>
      <c r="I96" s="64"/>
      <c r="J96" s="64"/>
      <c r="K96" s="64"/>
      <c r="L96" s="64"/>
      <c r="M96" s="64"/>
      <c r="N96" s="64"/>
      <c r="O96" s="64"/>
      <c r="P96" s="64"/>
      <c r="Q96" s="64"/>
      <c r="R96" s="64"/>
      <c r="S96" s="64"/>
      <c r="T96" s="64"/>
      <c r="U96" s="64"/>
      <c r="V96" s="64"/>
    </row>
    <row r="97" ht="13.55" customHeight="1">
      <c r="A97" s="60"/>
      <c r="B97" s="93"/>
      <c r="C97" s="65"/>
      <c r="D97" s="65"/>
      <c r="E97" s="65"/>
      <c r="F97" s="64"/>
      <c r="G97" s="64"/>
      <c r="H97" s="64"/>
      <c r="I97" s="64"/>
      <c r="J97" s="64"/>
      <c r="K97" s="64"/>
      <c r="L97" s="64"/>
      <c r="M97" s="64"/>
      <c r="N97" s="64"/>
      <c r="O97" s="64"/>
      <c r="P97" s="64"/>
      <c r="Q97" s="64"/>
      <c r="R97" s="64"/>
      <c r="S97" s="64"/>
      <c r="T97" s="64"/>
      <c r="U97" s="64"/>
      <c r="V97" s="64"/>
    </row>
    <row r="98" ht="13.55" customHeight="1">
      <c r="A98" s="60"/>
      <c r="B98" s="93"/>
      <c r="C98" s="65"/>
      <c r="D98" s="65"/>
      <c r="E98" s="65"/>
      <c r="F98" s="64"/>
      <c r="G98" s="64"/>
      <c r="H98" s="64"/>
      <c r="I98" s="64"/>
      <c r="J98" s="64"/>
      <c r="K98" s="64"/>
      <c r="L98" s="64"/>
      <c r="M98" s="64"/>
      <c r="N98" s="64"/>
      <c r="O98" s="64"/>
      <c r="P98" s="64"/>
      <c r="Q98" s="64"/>
      <c r="R98" s="64"/>
      <c r="S98" s="64"/>
      <c r="T98" s="64"/>
      <c r="U98" s="64"/>
      <c r="V98" s="64"/>
    </row>
    <row r="99" ht="13.55" customHeight="1">
      <c r="A99" s="60"/>
      <c r="B99" s="93"/>
      <c r="C99" s="65"/>
      <c r="D99" s="65"/>
      <c r="E99" s="65"/>
      <c r="F99" s="64"/>
      <c r="G99" s="64"/>
      <c r="H99" s="64"/>
      <c r="I99" s="64"/>
      <c r="J99" s="64"/>
      <c r="K99" s="64"/>
      <c r="L99" s="64"/>
      <c r="M99" s="64"/>
      <c r="N99" s="64"/>
      <c r="O99" s="64"/>
      <c r="P99" s="64"/>
      <c r="Q99" s="64"/>
      <c r="R99" s="64"/>
      <c r="S99" s="64"/>
      <c r="T99" s="64"/>
      <c r="U99" s="64"/>
      <c r="V99" s="64"/>
    </row>
    <row r="100" ht="13.55" customHeight="1">
      <c r="A100" s="60"/>
      <c r="B100" s="93"/>
      <c r="C100" s="65"/>
      <c r="D100" s="65"/>
      <c r="E100" s="65"/>
      <c r="F100" s="64"/>
      <c r="G100" s="64"/>
      <c r="H100" s="64"/>
      <c r="I100" s="64"/>
      <c r="J100" s="64"/>
      <c r="K100" s="64"/>
      <c r="L100" s="64"/>
      <c r="M100" s="64"/>
      <c r="N100" s="64"/>
      <c r="O100" s="64"/>
      <c r="P100" s="64"/>
      <c r="Q100" s="64"/>
      <c r="R100" s="64"/>
      <c r="S100" s="64"/>
      <c r="T100" s="64"/>
      <c r="U100" s="64"/>
      <c r="V100" s="64"/>
    </row>
    <row r="101" ht="13.55" customHeight="1">
      <c r="A101" s="60"/>
      <c r="B101" s="93"/>
      <c r="C101" s="65"/>
      <c r="D101" s="65"/>
      <c r="E101" s="65"/>
      <c r="F101" s="64"/>
      <c r="G101" s="64"/>
      <c r="H101" s="64"/>
      <c r="I101" s="64"/>
      <c r="J101" s="64"/>
      <c r="K101" s="64"/>
      <c r="L101" s="64"/>
      <c r="M101" s="64"/>
      <c r="N101" s="64"/>
      <c r="O101" s="64"/>
      <c r="P101" s="64"/>
      <c r="Q101" s="64"/>
      <c r="R101" s="64"/>
      <c r="S101" s="64"/>
      <c r="T101" s="64"/>
      <c r="U101" s="64"/>
      <c r="V101" s="64"/>
    </row>
    <row r="102" ht="13.55" customHeight="1">
      <c r="A102" s="60"/>
      <c r="B102" s="93"/>
      <c r="C102" s="65"/>
      <c r="D102" s="65"/>
      <c r="E102" s="65"/>
      <c r="F102" s="64"/>
      <c r="G102" s="64"/>
      <c r="H102" s="64"/>
      <c r="I102" s="64"/>
      <c r="J102" s="64"/>
      <c r="K102" s="64"/>
      <c r="L102" s="64"/>
      <c r="M102" s="64"/>
      <c r="N102" s="64"/>
      <c r="O102" s="64"/>
      <c r="P102" s="64"/>
      <c r="Q102" s="64"/>
      <c r="R102" s="64"/>
      <c r="S102" s="64"/>
      <c r="T102" s="64"/>
      <c r="U102" s="64"/>
      <c r="V102" s="64"/>
    </row>
    <row r="103" ht="13.55" customHeight="1">
      <c r="A103" s="60"/>
      <c r="B103" s="93"/>
      <c r="C103" s="65"/>
      <c r="D103" s="65"/>
      <c r="E103" s="65"/>
      <c r="F103" s="64"/>
      <c r="G103" s="64"/>
      <c r="H103" s="64"/>
      <c r="I103" s="64"/>
      <c r="J103" s="64"/>
      <c r="K103" s="64"/>
      <c r="L103" s="64"/>
      <c r="M103" s="64"/>
      <c r="N103" s="64"/>
      <c r="O103" s="64"/>
      <c r="P103" s="64"/>
      <c r="Q103" s="64"/>
      <c r="R103" s="64"/>
      <c r="S103" s="64"/>
      <c r="T103" s="64"/>
      <c r="U103" s="64"/>
      <c r="V103" s="64"/>
    </row>
    <row r="104" ht="13.55" customHeight="1">
      <c r="A104" s="60"/>
      <c r="B104" s="93"/>
      <c r="C104" s="65"/>
      <c r="D104" s="65"/>
      <c r="E104" s="65"/>
      <c r="F104" s="64"/>
      <c r="G104" s="64"/>
      <c r="H104" s="64"/>
      <c r="I104" s="64"/>
      <c r="J104" s="64"/>
      <c r="K104" s="64"/>
      <c r="L104" s="64"/>
      <c r="M104" s="64"/>
      <c r="N104" s="64"/>
      <c r="O104" s="64"/>
      <c r="P104" s="64"/>
      <c r="Q104" s="64"/>
      <c r="R104" s="64"/>
      <c r="S104" s="64"/>
      <c r="T104" s="64"/>
      <c r="U104" s="64"/>
      <c r="V104" s="64"/>
    </row>
    <row r="105" ht="13.55" customHeight="1">
      <c r="A105" s="60"/>
      <c r="B105" s="93"/>
      <c r="C105" s="65"/>
      <c r="D105" s="65"/>
      <c r="E105" s="65"/>
      <c r="F105" s="64"/>
      <c r="G105" s="64"/>
      <c r="H105" s="64"/>
      <c r="I105" s="64"/>
      <c r="J105" s="64"/>
      <c r="K105" s="64"/>
      <c r="L105" s="64"/>
      <c r="M105" s="64"/>
      <c r="N105" s="64"/>
      <c r="O105" s="64"/>
      <c r="P105" s="64"/>
      <c r="Q105" s="64"/>
      <c r="R105" s="64"/>
      <c r="S105" s="64"/>
      <c r="T105" s="64"/>
      <c r="U105" s="64"/>
      <c r="V105" s="64"/>
    </row>
    <row r="106" ht="13.55" customHeight="1">
      <c r="A106" s="60"/>
      <c r="B106" s="93"/>
      <c r="C106" s="65"/>
      <c r="D106" s="65"/>
      <c r="E106" s="65"/>
      <c r="F106" s="64"/>
      <c r="G106" s="64"/>
      <c r="H106" s="64"/>
      <c r="I106" s="64"/>
      <c r="J106" s="64"/>
      <c r="K106" s="64"/>
      <c r="L106" s="64"/>
      <c r="M106" s="64"/>
      <c r="N106" s="64"/>
      <c r="O106" s="64"/>
      <c r="P106" s="64"/>
      <c r="Q106" s="64"/>
      <c r="R106" s="64"/>
      <c r="S106" s="64"/>
      <c r="T106" s="64"/>
      <c r="U106" s="64"/>
      <c r="V106" s="64"/>
    </row>
    <row r="107" ht="13.55" customHeight="1">
      <c r="A107" s="60"/>
      <c r="B107" s="93"/>
      <c r="C107" s="65"/>
      <c r="D107" s="65"/>
      <c r="E107" s="65"/>
      <c r="F107" s="64"/>
      <c r="G107" s="64"/>
      <c r="H107" s="64"/>
      <c r="I107" s="64"/>
      <c r="J107" s="64"/>
      <c r="K107" s="64"/>
      <c r="L107" s="64"/>
      <c r="M107" s="64"/>
      <c r="N107" s="64"/>
      <c r="O107" s="64"/>
      <c r="P107" s="64"/>
      <c r="Q107" s="64"/>
      <c r="R107" s="64"/>
      <c r="S107" s="64"/>
      <c r="T107" s="64"/>
      <c r="U107" s="64"/>
      <c r="V107" s="64"/>
    </row>
    <row r="108" ht="13.55" customHeight="1">
      <c r="A108" s="60"/>
      <c r="B108" s="93"/>
      <c r="C108" s="65"/>
      <c r="D108" s="65"/>
      <c r="E108" s="65"/>
      <c r="F108" s="64"/>
      <c r="G108" s="64"/>
      <c r="H108" s="64"/>
      <c r="I108" s="64"/>
      <c r="J108" s="64"/>
      <c r="K108" s="64"/>
      <c r="L108" s="64"/>
      <c r="M108" s="64"/>
      <c r="N108" s="64"/>
      <c r="O108" s="64"/>
      <c r="P108" s="64"/>
      <c r="Q108" s="64"/>
      <c r="R108" s="64"/>
      <c r="S108" s="64"/>
      <c r="T108" s="64"/>
      <c r="U108" s="64"/>
      <c r="V108" s="64"/>
    </row>
    <row r="109" ht="13.55" customHeight="1">
      <c r="A109" s="60"/>
      <c r="B109" s="93"/>
      <c r="C109" s="65"/>
      <c r="D109" s="65"/>
      <c r="E109" s="65"/>
      <c r="F109" s="64"/>
      <c r="G109" s="64"/>
      <c r="H109" s="64"/>
      <c r="I109" s="64"/>
      <c r="J109" s="64"/>
      <c r="K109" s="64"/>
      <c r="L109" s="64"/>
      <c r="M109" s="64"/>
      <c r="N109" s="64"/>
      <c r="O109" s="64"/>
      <c r="P109" s="64"/>
      <c r="Q109" s="64"/>
      <c r="R109" s="64"/>
      <c r="S109" s="64"/>
      <c r="T109" s="64"/>
      <c r="U109" s="64"/>
      <c r="V109" s="64"/>
    </row>
    <row r="110" ht="13.55" customHeight="1">
      <c r="A110" s="60"/>
      <c r="B110" s="93"/>
      <c r="C110" s="65"/>
      <c r="D110" s="65"/>
      <c r="E110" s="65"/>
      <c r="F110" s="64"/>
      <c r="G110" s="64"/>
      <c r="H110" s="64"/>
      <c r="I110" s="64"/>
      <c r="J110" s="64"/>
      <c r="K110" s="64"/>
      <c r="L110" s="64"/>
      <c r="M110" s="64"/>
      <c r="N110" s="64"/>
      <c r="O110" s="64"/>
      <c r="P110" s="64"/>
      <c r="Q110" s="64"/>
      <c r="R110" s="64"/>
      <c r="S110" s="64"/>
      <c r="T110" s="64"/>
      <c r="U110" s="64"/>
      <c r="V110" s="64"/>
    </row>
    <row r="111" ht="13.55" customHeight="1">
      <c r="A111" s="60"/>
      <c r="B111" s="93"/>
      <c r="C111" s="65"/>
      <c r="D111" s="65"/>
      <c r="E111" s="65"/>
      <c r="F111" s="64"/>
      <c r="G111" s="64"/>
      <c r="H111" s="64"/>
      <c r="I111" s="64"/>
      <c r="J111" s="64"/>
      <c r="K111" s="64"/>
      <c r="L111" s="64"/>
      <c r="M111" s="64"/>
      <c r="N111" s="64"/>
      <c r="O111" s="64"/>
      <c r="P111" s="64"/>
      <c r="Q111" s="64"/>
      <c r="R111" s="64"/>
      <c r="S111" s="64"/>
      <c r="T111" s="64"/>
      <c r="U111" s="64"/>
      <c r="V111" s="64"/>
    </row>
    <row r="112" ht="13.55" customHeight="1">
      <c r="A112" s="60"/>
      <c r="B112" s="93"/>
      <c r="C112" s="65"/>
      <c r="D112" s="65"/>
      <c r="E112" s="65"/>
      <c r="F112" s="64"/>
      <c r="G112" s="64"/>
      <c r="H112" s="64"/>
      <c r="I112" s="64"/>
      <c r="J112" s="64"/>
      <c r="K112" s="64"/>
      <c r="L112" s="64"/>
      <c r="M112" s="64"/>
      <c r="N112" s="64"/>
      <c r="O112" s="64"/>
      <c r="P112" s="64"/>
      <c r="Q112" s="64"/>
      <c r="R112" s="64"/>
      <c r="S112" s="64"/>
      <c r="T112" s="64"/>
      <c r="U112" s="64"/>
      <c r="V112" s="64"/>
    </row>
    <row r="113" ht="13.55" customHeight="1">
      <c r="A113" s="60"/>
      <c r="B113" s="93"/>
      <c r="C113" s="65"/>
      <c r="D113" s="65"/>
      <c r="E113" s="65"/>
      <c r="F113" s="64"/>
      <c r="G113" s="64"/>
      <c r="H113" s="64"/>
      <c r="I113" s="64"/>
      <c r="J113" s="64"/>
      <c r="K113" s="64"/>
      <c r="L113" s="64"/>
      <c r="M113" s="64"/>
      <c r="N113" s="64"/>
      <c r="O113" s="64"/>
      <c r="P113" s="64"/>
      <c r="Q113" s="64"/>
      <c r="R113" s="64"/>
      <c r="S113" s="64"/>
      <c r="T113" s="64"/>
      <c r="U113" s="64"/>
      <c r="V113" s="64"/>
    </row>
    <row r="114" ht="13.55" customHeight="1">
      <c r="A114" s="60"/>
      <c r="B114" s="93"/>
      <c r="C114" s="65"/>
      <c r="D114" s="65"/>
      <c r="E114" s="65"/>
      <c r="F114" s="64"/>
      <c r="G114" s="64"/>
      <c r="H114" s="64"/>
      <c r="I114" s="64"/>
      <c r="J114" s="64"/>
      <c r="K114" s="64"/>
      <c r="L114" s="64"/>
      <c r="M114" s="64"/>
      <c r="N114" s="64"/>
      <c r="O114" s="64"/>
      <c r="P114" s="64"/>
      <c r="Q114" s="64"/>
      <c r="R114" s="64"/>
      <c r="S114" s="64"/>
      <c r="T114" s="64"/>
      <c r="U114" s="64"/>
      <c r="V114" s="64"/>
    </row>
    <row r="115" ht="13.55" customHeight="1">
      <c r="A115" s="60"/>
      <c r="B115" s="93"/>
      <c r="C115" s="65"/>
      <c r="D115" s="65"/>
      <c r="E115" s="65"/>
      <c r="F115" s="64"/>
      <c r="G115" s="64"/>
      <c r="H115" s="64"/>
      <c r="I115" s="64"/>
      <c r="J115" s="64"/>
      <c r="K115" s="64"/>
      <c r="L115" s="64"/>
      <c r="M115" s="64"/>
      <c r="N115" s="64"/>
      <c r="O115" s="64"/>
      <c r="P115" s="64"/>
      <c r="Q115" s="64"/>
      <c r="R115" s="64"/>
      <c r="S115" s="64"/>
      <c r="T115" s="64"/>
      <c r="U115" s="64"/>
      <c r="V115" s="64"/>
    </row>
    <row r="116" ht="13.55" customHeight="1">
      <c r="A116" s="60"/>
      <c r="B116" s="93"/>
      <c r="C116" s="65"/>
      <c r="D116" s="65"/>
      <c r="E116" s="65"/>
      <c r="F116" s="64"/>
      <c r="G116" s="64"/>
      <c r="H116" s="64"/>
      <c r="I116" s="64"/>
      <c r="J116" s="64"/>
      <c r="K116" s="64"/>
      <c r="L116" s="64"/>
      <c r="M116" s="64"/>
      <c r="N116" s="64"/>
      <c r="O116" s="64"/>
      <c r="P116" s="64"/>
      <c r="Q116" s="64"/>
      <c r="R116" s="64"/>
      <c r="S116" s="64"/>
      <c r="T116" s="64"/>
      <c r="U116" s="64"/>
      <c r="V116" s="64"/>
    </row>
    <row r="117" ht="13.55" customHeight="1">
      <c r="A117" s="60"/>
      <c r="B117" s="93"/>
      <c r="C117" s="65"/>
      <c r="D117" s="65"/>
      <c r="E117" s="65"/>
      <c r="F117" s="64"/>
      <c r="G117" s="64"/>
      <c r="H117" s="64"/>
      <c r="I117" s="64"/>
      <c r="J117" s="64"/>
      <c r="K117" s="64"/>
      <c r="L117" s="64"/>
      <c r="M117" s="64"/>
      <c r="N117" s="64"/>
      <c r="O117" s="64"/>
      <c r="P117" s="64"/>
      <c r="Q117" s="64"/>
      <c r="R117" s="64"/>
      <c r="S117" s="64"/>
      <c r="T117" s="64"/>
      <c r="U117" s="64"/>
      <c r="V117" s="64"/>
    </row>
    <row r="118" ht="13.55" customHeight="1">
      <c r="A118" s="60"/>
      <c r="B118" s="93"/>
      <c r="C118" s="65"/>
      <c r="D118" s="65"/>
      <c r="E118" s="65"/>
      <c r="F118" s="64"/>
      <c r="G118" s="64"/>
      <c r="H118" s="64"/>
      <c r="I118" s="64"/>
      <c r="J118" s="64"/>
      <c r="K118" s="64"/>
      <c r="L118" s="64"/>
      <c r="M118" s="64"/>
      <c r="N118" s="64"/>
      <c r="O118" s="64"/>
      <c r="P118" s="64"/>
      <c r="Q118" s="64"/>
      <c r="R118" s="64"/>
      <c r="S118" s="64"/>
      <c r="T118" s="64"/>
      <c r="U118" s="64"/>
      <c r="V118" s="64"/>
    </row>
    <row r="119" ht="13.55" customHeight="1">
      <c r="A119" s="60"/>
      <c r="B119" s="93"/>
      <c r="C119" s="65"/>
      <c r="D119" s="65"/>
      <c r="E119" s="65"/>
      <c r="F119" s="64"/>
      <c r="G119" s="64"/>
      <c r="H119" s="64"/>
      <c r="I119" s="64"/>
      <c r="J119" s="64"/>
      <c r="K119" s="64"/>
      <c r="L119" s="64"/>
      <c r="M119" s="64"/>
      <c r="N119" s="64"/>
      <c r="O119" s="64"/>
      <c r="P119" s="64"/>
      <c r="Q119" s="64"/>
      <c r="R119" s="64"/>
      <c r="S119" s="64"/>
      <c r="T119" s="64"/>
      <c r="U119" s="64"/>
      <c r="V119" s="64"/>
    </row>
    <row r="120" ht="13.55" customHeight="1">
      <c r="A120" s="60"/>
      <c r="B120" s="93"/>
      <c r="C120" s="65"/>
      <c r="D120" s="65"/>
      <c r="E120" s="65"/>
      <c r="F120" s="64"/>
      <c r="G120" s="64"/>
      <c r="H120" s="64"/>
      <c r="I120" s="64"/>
      <c r="J120" s="64"/>
      <c r="K120" s="64"/>
      <c r="L120" s="64"/>
      <c r="M120" s="64"/>
      <c r="N120" s="64"/>
      <c r="O120" s="64"/>
      <c r="P120" s="64"/>
      <c r="Q120" s="64"/>
      <c r="R120" s="64"/>
      <c r="S120" s="64"/>
      <c r="T120" s="64"/>
      <c r="U120" s="64"/>
      <c r="V120" s="64"/>
    </row>
    <row r="121" ht="13.55" customHeight="1">
      <c r="A121" s="60"/>
      <c r="B121" s="93"/>
      <c r="C121" s="65"/>
      <c r="D121" s="65"/>
      <c r="E121" s="65"/>
      <c r="F121" s="64"/>
      <c r="G121" s="64"/>
      <c r="H121" s="64"/>
      <c r="I121" s="64"/>
      <c r="J121" s="64"/>
      <c r="K121" s="64"/>
      <c r="L121" s="64"/>
      <c r="M121" s="64"/>
      <c r="N121" s="64"/>
      <c r="O121" s="64"/>
      <c r="P121" s="64"/>
      <c r="Q121" s="64"/>
      <c r="R121" s="64"/>
      <c r="S121" s="64"/>
      <c r="T121" s="64"/>
      <c r="U121" s="64"/>
      <c r="V121" s="64"/>
    </row>
    <row r="122" ht="13.55" customHeight="1">
      <c r="A122" s="60"/>
      <c r="B122" s="93"/>
      <c r="C122" s="65"/>
      <c r="D122" s="65"/>
      <c r="E122" s="65"/>
      <c r="F122" s="64"/>
      <c r="G122" s="64"/>
      <c r="H122" s="64"/>
      <c r="I122" s="64"/>
      <c r="J122" s="64"/>
      <c r="K122" s="64"/>
      <c r="L122" s="64"/>
      <c r="M122" s="64"/>
      <c r="N122" s="64"/>
      <c r="O122" s="64"/>
      <c r="P122" s="64"/>
      <c r="Q122" s="64"/>
      <c r="R122" s="64"/>
      <c r="S122" s="64"/>
      <c r="T122" s="64"/>
      <c r="U122" s="64"/>
      <c r="V122" s="64"/>
    </row>
    <row r="123" ht="13.55" customHeight="1">
      <c r="A123" s="60"/>
      <c r="B123" s="93"/>
      <c r="C123" s="65"/>
      <c r="D123" s="65"/>
      <c r="E123" s="65"/>
      <c r="F123" s="64"/>
      <c r="G123" s="64"/>
      <c r="H123" s="64"/>
      <c r="I123" s="64"/>
      <c r="J123" s="64"/>
      <c r="K123" s="64"/>
      <c r="L123" s="64"/>
      <c r="M123" s="64"/>
      <c r="N123" s="64"/>
      <c r="O123" s="64"/>
      <c r="P123" s="64"/>
      <c r="Q123" s="64"/>
      <c r="R123" s="64"/>
      <c r="S123" s="64"/>
      <c r="T123" s="64"/>
      <c r="U123" s="64"/>
      <c r="V123" s="64"/>
    </row>
    <row r="124" ht="13.55" customHeight="1">
      <c r="A124" s="60"/>
      <c r="B124" s="93"/>
      <c r="C124" s="65"/>
      <c r="D124" s="65"/>
      <c r="E124" s="65"/>
      <c r="F124" s="64"/>
      <c r="G124" s="64"/>
      <c r="H124" s="64"/>
      <c r="I124" s="64"/>
      <c r="J124" s="64"/>
      <c r="K124" s="64"/>
      <c r="L124" s="64"/>
      <c r="M124" s="64"/>
      <c r="N124" s="64"/>
      <c r="O124" s="64"/>
      <c r="P124" s="64"/>
      <c r="Q124" s="64"/>
      <c r="R124" s="64"/>
      <c r="S124" s="64"/>
      <c r="T124" s="64"/>
      <c r="U124" s="64"/>
      <c r="V124" s="64"/>
    </row>
    <row r="125" ht="13.55" customHeight="1">
      <c r="A125" s="60"/>
      <c r="B125" s="93"/>
      <c r="C125" s="65"/>
      <c r="D125" s="65"/>
      <c r="E125" s="65"/>
      <c r="F125" s="64"/>
      <c r="G125" s="64"/>
      <c r="H125" s="64"/>
      <c r="I125" s="64"/>
      <c r="J125" s="64"/>
      <c r="K125" s="64"/>
      <c r="L125" s="64"/>
      <c r="M125" s="64"/>
      <c r="N125" s="64"/>
      <c r="O125" s="64"/>
      <c r="P125" s="64"/>
      <c r="Q125" s="64"/>
      <c r="R125" s="64"/>
      <c r="S125" s="64"/>
      <c r="T125" s="64"/>
      <c r="U125" s="64"/>
      <c r="V125" s="64"/>
    </row>
    <row r="126" ht="13.55" customHeight="1">
      <c r="A126" s="60"/>
      <c r="B126" s="93"/>
      <c r="C126" s="65"/>
      <c r="D126" s="65"/>
      <c r="E126" s="65"/>
      <c r="F126" s="64"/>
      <c r="G126" s="64"/>
      <c r="H126" s="64"/>
      <c r="I126" s="64"/>
      <c r="J126" s="64"/>
      <c r="K126" s="64"/>
      <c r="L126" s="64"/>
      <c r="M126" s="64"/>
      <c r="N126" s="64"/>
      <c r="O126" s="64"/>
      <c r="P126" s="64"/>
      <c r="Q126" s="64"/>
      <c r="R126" s="64"/>
      <c r="S126" s="64"/>
      <c r="T126" s="64"/>
      <c r="U126" s="64"/>
      <c r="V126" s="64"/>
    </row>
    <row r="127" ht="13.55" customHeight="1">
      <c r="A127" s="60"/>
      <c r="B127" s="93"/>
      <c r="C127" s="65"/>
      <c r="D127" s="65"/>
      <c r="E127" s="65"/>
      <c r="F127" s="64"/>
      <c r="G127" s="64"/>
      <c r="H127" s="64"/>
      <c r="I127" s="64"/>
      <c r="J127" s="64"/>
      <c r="K127" s="64"/>
      <c r="L127" s="64"/>
      <c r="M127" s="64"/>
      <c r="N127" s="64"/>
      <c r="O127" s="64"/>
      <c r="P127" s="64"/>
      <c r="Q127" s="64"/>
      <c r="R127" s="64"/>
      <c r="S127" s="64"/>
      <c r="T127" s="64"/>
      <c r="U127" s="64"/>
      <c r="V127" s="64"/>
    </row>
    <row r="128" ht="13.55" customHeight="1">
      <c r="A128" s="60"/>
      <c r="B128" s="93"/>
      <c r="C128" s="65"/>
      <c r="D128" s="65"/>
      <c r="E128" s="65"/>
      <c r="F128" s="64"/>
      <c r="G128" s="64"/>
      <c r="H128" s="64"/>
      <c r="I128" s="64"/>
      <c r="J128" s="64"/>
      <c r="K128" s="64"/>
      <c r="L128" s="64"/>
      <c r="M128" s="64"/>
      <c r="N128" s="64"/>
      <c r="O128" s="64"/>
      <c r="P128" s="64"/>
      <c r="Q128" s="64"/>
      <c r="R128" s="64"/>
      <c r="S128" s="64"/>
      <c r="T128" s="64"/>
      <c r="U128" s="64"/>
      <c r="V128" s="64"/>
    </row>
    <row r="129" ht="13.55" customHeight="1">
      <c r="A129" s="60"/>
      <c r="B129" s="93"/>
      <c r="C129" s="65"/>
      <c r="D129" s="65"/>
      <c r="E129" s="65"/>
      <c r="F129" s="64"/>
      <c r="G129" s="64"/>
      <c r="H129" s="64"/>
      <c r="I129" s="64"/>
      <c r="J129" s="64"/>
      <c r="K129" s="64"/>
      <c r="L129" s="64"/>
      <c r="M129" s="64"/>
      <c r="N129" s="64"/>
      <c r="O129" s="64"/>
      <c r="P129" s="64"/>
      <c r="Q129" s="64"/>
      <c r="R129" s="64"/>
      <c r="S129" s="64"/>
      <c r="T129" s="64"/>
      <c r="U129" s="64"/>
      <c r="V129" s="64"/>
    </row>
    <row r="130" ht="13.55" customHeight="1">
      <c r="A130" s="60"/>
      <c r="B130" s="93"/>
      <c r="C130" s="65"/>
      <c r="D130" s="65"/>
      <c r="E130" s="65"/>
      <c r="F130" s="64"/>
      <c r="G130" s="64"/>
      <c r="H130" s="64"/>
      <c r="I130" s="64"/>
      <c r="J130" s="64"/>
      <c r="K130" s="64"/>
      <c r="L130" s="64"/>
      <c r="M130" s="64"/>
      <c r="N130" s="64"/>
      <c r="O130" s="64"/>
      <c r="P130" s="64"/>
      <c r="Q130" s="64"/>
      <c r="R130" s="64"/>
      <c r="S130" s="64"/>
      <c r="T130" s="64"/>
      <c r="U130" s="64"/>
      <c r="V130" s="64"/>
    </row>
    <row r="131" ht="13.55" customHeight="1">
      <c r="A131" s="60"/>
      <c r="B131" s="93"/>
      <c r="C131" s="65"/>
      <c r="D131" s="65"/>
      <c r="E131" s="65"/>
      <c r="F131" s="64"/>
      <c r="G131" s="64"/>
      <c r="H131" s="64"/>
      <c r="I131" s="64"/>
      <c r="J131" s="64"/>
      <c r="K131" s="64"/>
      <c r="L131" s="64"/>
      <c r="M131" s="64"/>
      <c r="N131" s="64"/>
      <c r="O131" s="64"/>
      <c r="P131" s="64"/>
      <c r="Q131" s="64"/>
      <c r="R131" s="64"/>
      <c r="S131" s="64"/>
      <c r="T131" s="64"/>
      <c r="U131" s="64"/>
      <c r="V131" s="64"/>
    </row>
    <row r="132" ht="13.55" customHeight="1">
      <c r="A132" s="60"/>
      <c r="B132" s="93"/>
      <c r="C132" s="65"/>
      <c r="D132" s="65"/>
      <c r="E132" s="65"/>
      <c r="F132" s="64"/>
      <c r="G132" s="64"/>
      <c r="H132" s="64"/>
      <c r="I132" s="64"/>
      <c r="J132" s="64"/>
      <c r="K132" s="64"/>
      <c r="L132" s="64"/>
      <c r="M132" s="64"/>
      <c r="N132" s="64"/>
      <c r="O132" s="64"/>
      <c r="P132" s="64"/>
      <c r="Q132" s="64"/>
      <c r="R132" s="64"/>
      <c r="S132" s="64"/>
      <c r="T132" s="64"/>
      <c r="U132" s="64"/>
      <c r="V132" s="64"/>
    </row>
    <row r="133" ht="13.55" customHeight="1">
      <c r="A133" s="60"/>
      <c r="B133" s="93"/>
      <c r="C133" s="65"/>
      <c r="D133" s="65"/>
      <c r="E133" s="65"/>
      <c r="F133" s="64"/>
      <c r="G133" s="64"/>
      <c r="H133" s="64"/>
      <c r="I133" s="64"/>
      <c r="J133" s="64"/>
      <c r="K133" s="64"/>
      <c r="L133" s="64"/>
      <c r="M133" s="64"/>
      <c r="N133" s="64"/>
      <c r="O133" s="64"/>
      <c r="P133" s="64"/>
      <c r="Q133" s="64"/>
      <c r="R133" s="64"/>
      <c r="S133" s="64"/>
      <c r="T133" s="64"/>
      <c r="U133" s="64"/>
      <c r="V133" s="64"/>
    </row>
    <row r="134" ht="13.55" customHeight="1">
      <c r="A134" s="60"/>
      <c r="B134" s="93"/>
      <c r="C134" s="65"/>
      <c r="D134" s="65"/>
      <c r="E134" s="65"/>
      <c r="F134" s="64"/>
      <c r="G134" s="64"/>
      <c r="H134" s="64"/>
      <c r="I134" s="64"/>
      <c r="J134" s="64"/>
      <c r="K134" s="64"/>
      <c r="L134" s="64"/>
      <c r="M134" s="64"/>
      <c r="N134" s="64"/>
      <c r="O134" s="64"/>
      <c r="P134" s="64"/>
      <c r="Q134" s="64"/>
      <c r="R134" s="64"/>
      <c r="S134" s="64"/>
      <c r="T134" s="64"/>
      <c r="U134" s="64"/>
      <c r="V134" s="64"/>
    </row>
    <row r="135" ht="13.55" customHeight="1">
      <c r="A135" s="60"/>
      <c r="B135" s="93"/>
      <c r="C135" s="65"/>
      <c r="D135" s="65"/>
      <c r="E135" s="65"/>
      <c r="F135" s="64"/>
      <c r="G135" s="64"/>
      <c r="H135" s="64"/>
      <c r="I135" s="64"/>
      <c r="J135" s="64"/>
      <c r="K135" s="64"/>
      <c r="L135" s="64"/>
      <c r="M135" s="64"/>
      <c r="N135" s="64"/>
      <c r="O135" s="64"/>
      <c r="P135" s="64"/>
      <c r="Q135" s="64"/>
      <c r="R135" s="64"/>
      <c r="S135" s="64"/>
      <c r="T135" s="64"/>
      <c r="U135" s="64"/>
      <c r="V135" s="64"/>
    </row>
    <row r="136" ht="13.55" customHeight="1">
      <c r="A136" s="60"/>
      <c r="B136" s="93"/>
      <c r="C136" s="65"/>
      <c r="D136" s="65"/>
      <c r="E136" s="65"/>
      <c r="F136" s="64"/>
      <c r="G136" s="64"/>
      <c r="H136" s="64"/>
      <c r="I136" s="64"/>
      <c r="J136" s="64"/>
      <c r="K136" s="64"/>
      <c r="L136" s="64"/>
      <c r="M136" s="64"/>
      <c r="N136" s="64"/>
      <c r="O136" s="64"/>
      <c r="P136" s="64"/>
      <c r="Q136" s="64"/>
      <c r="R136" s="64"/>
      <c r="S136" s="64"/>
      <c r="T136" s="64"/>
      <c r="U136" s="64"/>
      <c r="V136" s="64"/>
    </row>
    <row r="137" ht="13.55" customHeight="1">
      <c r="A137" s="60"/>
      <c r="B137" s="93"/>
      <c r="C137" s="65"/>
      <c r="D137" s="65"/>
      <c r="E137" s="65"/>
      <c r="F137" s="64"/>
      <c r="G137" s="64"/>
      <c r="H137" s="64"/>
      <c r="I137" s="64"/>
      <c r="J137" s="64"/>
      <c r="K137" s="64"/>
      <c r="L137" s="64"/>
      <c r="M137" s="64"/>
      <c r="N137" s="64"/>
      <c r="O137" s="64"/>
      <c r="P137" s="64"/>
      <c r="Q137" s="64"/>
      <c r="R137" s="64"/>
      <c r="S137" s="64"/>
      <c r="T137" s="64"/>
      <c r="U137" s="64"/>
      <c r="V137" s="64"/>
    </row>
    <row r="138" ht="13.55" customHeight="1">
      <c r="A138" s="60"/>
      <c r="B138" s="93"/>
      <c r="C138" s="65"/>
      <c r="D138" s="65"/>
      <c r="E138" s="65"/>
      <c r="F138" s="64"/>
      <c r="G138" s="64"/>
      <c r="H138" s="64"/>
      <c r="I138" s="64"/>
      <c r="J138" s="64"/>
      <c r="K138" s="64"/>
      <c r="L138" s="64"/>
      <c r="M138" s="64"/>
      <c r="N138" s="64"/>
      <c r="O138" s="64"/>
      <c r="P138" s="64"/>
      <c r="Q138" s="64"/>
      <c r="R138" s="64"/>
      <c r="S138" s="64"/>
      <c r="T138" s="64"/>
      <c r="U138" s="64"/>
      <c r="V138" s="64"/>
    </row>
    <row r="139" ht="13.55" customHeight="1">
      <c r="A139" s="60"/>
      <c r="B139" s="93"/>
      <c r="C139" s="65"/>
      <c r="D139" s="65"/>
      <c r="E139" s="65"/>
      <c r="F139" s="64"/>
      <c r="G139" s="64"/>
      <c r="H139" s="64"/>
      <c r="I139" s="64"/>
      <c r="J139" s="64"/>
      <c r="K139" s="64"/>
      <c r="L139" s="64"/>
      <c r="M139" s="64"/>
      <c r="N139" s="64"/>
      <c r="O139" s="64"/>
      <c r="P139" s="64"/>
      <c r="Q139" s="64"/>
      <c r="R139" s="64"/>
      <c r="S139" s="64"/>
      <c r="T139" s="64"/>
      <c r="U139" s="64"/>
      <c r="V139" s="64"/>
    </row>
    <row r="140" ht="13.55" customHeight="1">
      <c r="A140" s="60"/>
      <c r="B140" s="93"/>
      <c r="C140" s="65"/>
      <c r="D140" s="65"/>
      <c r="E140" s="65"/>
      <c r="F140" s="64"/>
      <c r="G140" s="64"/>
      <c r="H140" s="64"/>
      <c r="I140" s="64"/>
      <c r="J140" s="64"/>
      <c r="K140" s="64"/>
      <c r="L140" s="64"/>
      <c r="M140" s="64"/>
      <c r="N140" s="64"/>
      <c r="O140" s="64"/>
      <c r="P140" s="64"/>
      <c r="Q140" s="64"/>
      <c r="R140" s="64"/>
      <c r="S140" s="64"/>
      <c r="T140" s="64"/>
      <c r="U140" s="64"/>
      <c r="V140" s="64"/>
    </row>
    <row r="141" ht="13.55" customHeight="1">
      <c r="A141" s="60"/>
      <c r="B141" s="93"/>
      <c r="C141" s="65"/>
      <c r="D141" s="65"/>
      <c r="E141" s="65"/>
      <c r="F141" s="64"/>
      <c r="G141" s="64"/>
      <c r="H141" s="64"/>
      <c r="I141" s="64"/>
      <c r="J141" s="64"/>
      <c r="K141" s="64"/>
      <c r="L141" s="64"/>
      <c r="M141" s="64"/>
      <c r="N141" s="64"/>
      <c r="O141" s="64"/>
      <c r="P141" s="64"/>
      <c r="Q141" s="64"/>
      <c r="R141" s="64"/>
      <c r="S141" s="64"/>
      <c r="T141" s="64"/>
      <c r="U141" s="64"/>
      <c r="V141" s="64"/>
    </row>
    <row r="142" ht="13.55" customHeight="1">
      <c r="A142" s="60"/>
      <c r="B142" s="93"/>
      <c r="C142" s="65"/>
      <c r="D142" s="65"/>
      <c r="E142" s="65"/>
      <c r="F142" s="64"/>
      <c r="G142" s="64"/>
      <c r="H142" s="64"/>
      <c r="I142" s="64"/>
      <c r="J142" s="64"/>
      <c r="K142" s="64"/>
      <c r="L142" s="64"/>
      <c r="M142" s="64"/>
      <c r="N142" s="64"/>
      <c r="O142" s="64"/>
      <c r="P142" s="64"/>
      <c r="Q142" s="64"/>
      <c r="R142" s="64"/>
      <c r="S142" s="64"/>
      <c r="T142" s="64"/>
      <c r="U142" s="64"/>
      <c r="V142" s="64"/>
    </row>
    <row r="143" ht="13.55" customHeight="1">
      <c r="A143" s="60"/>
      <c r="B143" s="93"/>
      <c r="C143" s="65"/>
      <c r="D143" s="65"/>
      <c r="E143" s="65"/>
      <c r="F143" s="64"/>
      <c r="G143" s="64"/>
      <c r="H143" s="64"/>
      <c r="I143" s="64"/>
      <c r="J143" s="64"/>
      <c r="K143" s="64"/>
      <c r="L143" s="64"/>
      <c r="M143" s="64"/>
      <c r="N143" s="64"/>
      <c r="O143" s="64"/>
      <c r="P143" s="64"/>
      <c r="Q143" s="64"/>
      <c r="R143" s="64"/>
      <c r="S143" s="64"/>
      <c r="T143" s="64"/>
      <c r="U143" s="64"/>
      <c r="V143" s="64"/>
    </row>
    <row r="144" ht="13.55" customHeight="1">
      <c r="A144" s="60"/>
      <c r="B144" s="93"/>
      <c r="C144" s="65"/>
      <c r="D144" s="65"/>
      <c r="E144" s="65"/>
      <c r="F144" s="64"/>
      <c r="G144" s="64"/>
      <c r="H144" s="64"/>
      <c r="I144" s="64"/>
      <c r="J144" s="64"/>
      <c r="K144" s="64"/>
      <c r="L144" s="64"/>
      <c r="M144" s="64"/>
      <c r="N144" s="64"/>
      <c r="O144" s="64"/>
      <c r="P144" s="64"/>
      <c r="Q144" s="64"/>
      <c r="R144" s="64"/>
      <c r="S144" s="64"/>
      <c r="T144" s="64"/>
      <c r="U144" s="64"/>
      <c r="V144" s="64"/>
    </row>
    <row r="145" ht="13.55" customHeight="1">
      <c r="A145" s="60"/>
      <c r="B145" s="93"/>
      <c r="C145" s="65"/>
      <c r="D145" s="65"/>
      <c r="E145" s="65"/>
      <c r="F145" s="64"/>
      <c r="G145" s="64"/>
      <c r="H145" s="64"/>
      <c r="I145" s="64"/>
      <c r="J145" s="64"/>
      <c r="K145" s="64"/>
      <c r="L145" s="64"/>
      <c r="M145" s="64"/>
      <c r="N145" s="64"/>
      <c r="O145" s="64"/>
      <c r="P145" s="64"/>
      <c r="Q145" s="64"/>
      <c r="R145" s="64"/>
      <c r="S145" s="64"/>
      <c r="T145" s="64"/>
      <c r="U145" s="64"/>
      <c r="V145" s="64"/>
    </row>
    <row r="146" ht="13.55" customHeight="1">
      <c r="A146" s="60"/>
      <c r="B146" s="93"/>
      <c r="C146" s="65"/>
      <c r="D146" s="65"/>
      <c r="E146" s="65"/>
      <c r="F146" s="64"/>
      <c r="G146" s="64"/>
      <c r="H146" s="64"/>
      <c r="I146" s="64"/>
      <c r="J146" s="64"/>
      <c r="K146" s="64"/>
      <c r="L146" s="64"/>
      <c r="M146" s="64"/>
      <c r="N146" s="64"/>
      <c r="O146" s="64"/>
      <c r="P146" s="64"/>
      <c r="Q146" s="64"/>
      <c r="R146" s="64"/>
      <c r="S146" s="64"/>
      <c r="T146" s="64"/>
      <c r="U146" s="64"/>
      <c r="V146" s="64"/>
    </row>
    <row r="147" ht="13.55" customHeight="1">
      <c r="A147" s="60"/>
      <c r="B147" s="93"/>
      <c r="C147" s="65"/>
      <c r="D147" s="65"/>
      <c r="E147" s="65"/>
      <c r="F147" s="64"/>
      <c r="G147" s="64"/>
      <c r="H147" s="64"/>
      <c r="I147" s="64"/>
      <c r="J147" s="64"/>
      <c r="K147" s="64"/>
      <c r="L147" s="64"/>
      <c r="M147" s="64"/>
      <c r="N147" s="64"/>
      <c r="O147" s="64"/>
      <c r="P147" s="64"/>
      <c r="Q147" s="64"/>
      <c r="R147" s="64"/>
      <c r="S147" s="64"/>
      <c r="T147" s="64"/>
      <c r="U147" s="64"/>
      <c r="V147" s="64"/>
    </row>
    <row r="148" ht="13.55" customHeight="1">
      <c r="A148" s="60"/>
      <c r="B148" s="93"/>
      <c r="C148" s="65"/>
      <c r="D148" s="65"/>
      <c r="E148" s="65"/>
      <c r="F148" s="64"/>
      <c r="G148" s="64"/>
      <c r="H148" s="64"/>
      <c r="I148" s="64"/>
      <c r="J148" s="64"/>
      <c r="K148" s="64"/>
      <c r="L148" s="64"/>
      <c r="M148" s="64"/>
      <c r="N148" s="64"/>
      <c r="O148" s="64"/>
      <c r="P148" s="64"/>
      <c r="Q148" s="64"/>
      <c r="R148" s="64"/>
      <c r="S148" s="64"/>
      <c r="T148" s="64"/>
      <c r="U148" s="64"/>
      <c r="V148" s="64"/>
    </row>
    <row r="149" ht="13.55" customHeight="1">
      <c r="A149" s="60"/>
      <c r="B149" s="93"/>
      <c r="C149" s="65"/>
      <c r="D149" s="65"/>
      <c r="E149" s="65"/>
      <c r="F149" s="64"/>
      <c r="G149" s="64"/>
      <c r="H149" s="64"/>
      <c r="I149" s="64"/>
      <c r="J149" s="64"/>
      <c r="K149" s="64"/>
      <c r="L149" s="64"/>
      <c r="M149" s="64"/>
      <c r="N149" s="64"/>
      <c r="O149" s="64"/>
      <c r="P149" s="64"/>
      <c r="Q149" s="64"/>
      <c r="R149" s="64"/>
      <c r="S149" s="64"/>
      <c r="T149" s="64"/>
      <c r="U149" s="64"/>
      <c r="V149" s="64"/>
    </row>
    <row r="150" ht="13.55" customHeight="1">
      <c r="A150" s="60"/>
      <c r="B150" s="93"/>
      <c r="C150" s="65"/>
      <c r="D150" s="65"/>
      <c r="E150" s="65"/>
      <c r="F150" s="64"/>
      <c r="G150" s="64"/>
      <c r="H150" s="64"/>
      <c r="I150" s="64"/>
      <c r="J150" s="64"/>
      <c r="K150" s="64"/>
      <c r="L150" s="64"/>
      <c r="M150" s="64"/>
      <c r="N150" s="64"/>
      <c r="O150" s="64"/>
      <c r="P150" s="64"/>
      <c r="Q150" s="64"/>
      <c r="R150" s="64"/>
      <c r="S150" s="64"/>
      <c r="T150" s="64"/>
      <c r="U150" s="64"/>
      <c r="V150" s="64"/>
    </row>
    <row r="151" ht="13.55" customHeight="1">
      <c r="A151" s="60"/>
      <c r="B151" s="93"/>
      <c r="C151" s="65"/>
      <c r="D151" s="65"/>
      <c r="E151" s="65"/>
      <c r="F151" s="64"/>
      <c r="G151" s="64"/>
      <c r="H151" s="64"/>
      <c r="I151" s="64"/>
      <c r="J151" s="64"/>
      <c r="K151" s="64"/>
      <c r="L151" s="64"/>
      <c r="M151" s="64"/>
      <c r="N151" s="64"/>
      <c r="O151" s="64"/>
      <c r="P151" s="64"/>
      <c r="Q151" s="64"/>
      <c r="R151" s="64"/>
      <c r="S151" s="64"/>
      <c r="T151" s="64"/>
      <c r="U151" s="64"/>
      <c r="V151" s="64"/>
    </row>
    <row r="152" ht="13.55" customHeight="1">
      <c r="A152" s="60"/>
      <c r="B152" s="93"/>
      <c r="C152" s="65"/>
      <c r="D152" s="65"/>
      <c r="E152" s="65"/>
      <c r="F152" s="64"/>
      <c r="G152" s="64"/>
      <c r="H152" s="64"/>
      <c r="I152" s="64"/>
      <c r="J152" s="64"/>
      <c r="K152" s="64"/>
      <c r="L152" s="64"/>
      <c r="M152" s="64"/>
      <c r="N152" s="64"/>
      <c r="O152" s="64"/>
      <c r="P152" s="64"/>
      <c r="Q152" s="64"/>
      <c r="R152" s="64"/>
      <c r="S152" s="64"/>
      <c r="T152" s="64"/>
      <c r="U152" s="64"/>
      <c r="V152" s="64"/>
    </row>
    <row r="153" ht="13.55" customHeight="1">
      <c r="A153" s="60"/>
      <c r="B153" s="93"/>
      <c r="C153" s="65"/>
      <c r="D153" s="65"/>
      <c r="E153" s="65"/>
      <c r="F153" s="64"/>
      <c r="G153" s="64"/>
      <c r="H153" s="64"/>
      <c r="I153" s="64"/>
      <c r="J153" s="64"/>
      <c r="K153" s="64"/>
      <c r="L153" s="64"/>
      <c r="M153" s="64"/>
      <c r="N153" s="64"/>
      <c r="O153" s="64"/>
      <c r="P153" s="64"/>
      <c r="Q153" s="64"/>
      <c r="R153" s="64"/>
      <c r="S153" s="64"/>
      <c r="T153" s="64"/>
      <c r="U153" s="64"/>
      <c r="V153" s="64"/>
    </row>
    <row r="154" ht="13.55" customHeight="1">
      <c r="A154" s="60"/>
      <c r="B154" s="93"/>
      <c r="C154" s="65"/>
      <c r="D154" s="65"/>
      <c r="E154" s="65"/>
      <c r="F154" s="64"/>
      <c r="G154" s="64"/>
      <c r="H154" s="64"/>
      <c r="I154" s="64"/>
      <c r="J154" s="64"/>
      <c r="K154" s="64"/>
      <c r="L154" s="64"/>
      <c r="M154" s="64"/>
      <c r="N154" s="64"/>
      <c r="O154" s="64"/>
      <c r="P154" s="64"/>
      <c r="Q154" s="64"/>
      <c r="R154" s="64"/>
      <c r="S154" s="64"/>
      <c r="T154" s="64"/>
      <c r="U154" s="64"/>
      <c r="V154" s="64"/>
    </row>
    <row r="155" ht="13.55" customHeight="1">
      <c r="A155" s="60"/>
      <c r="B155" s="93"/>
      <c r="C155" s="65"/>
      <c r="D155" s="65"/>
      <c r="E155" s="65"/>
      <c r="F155" s="64"/>
      <c r="G155" s="64"/>
      <c r="H155" s="64"/>
      <c r="I155" s="64"/>
      <c r="J155" s="64"/>
      <c r="K155" s="64"/>
      <c r="L155" s="64"/>
      <c r="M155" s="64"/>
      <c r="N155" s="64"/>
      <c r="O155" s="64"/>
      <c r="P155" s="64"/>
      <c r="Q155" s="64"/>
      <c r="R155" s="64"/>
      <c r="S155" s="64"/>
      <c r="T155" s="64"/>
      <c r="U155" s="64"/>
      <c r="V155" s="64"/>
    </row>
    <row r="156" ht="13.55" customHeight="1">
      <c r="A156" s="60"/>
      <c r="B156" s="93"/>
      <c r="C156" s="65"/>
      <c r="D156" s="65"/>
      <c r="E156" s="65"/>
      <c r="F156" s="64"/>
      <c r="G156" s="64"/>
      <c r="H156" s="64"/>
      <c r="I156" s="64"/>
      <c r="J156" s="64"/>
      <c r="K156" s="64"/>
      <c r="L156" s="64"/>
      <c r="M156" s="64"/>
      <c r="N156" s="64"/>
      <c r="O156" s="64"/>
      <c r="P156" s="64"/>
      <c r="Q156" s="64"/>
      <c r="R156" s="64"/>
      <c r="S156" s="64"/>
      <c r="T156" s="64"/>
      <c r="U156" s="64"/>
      <c r="V156" s="64"/>
    </row>
    <row r="157" ht="13.55" customHeight="1">
      <c r="A157" s="60"/>
      <c r="B157" s="93"/>
      <c r="C157" s="65"/>
      <c r="D157" s="65"/>
      <c r="E157" s="65"/>
      <c r="F157" s="64"/>
      <c r="G157" s="64"/>
      <c r="H157" s="64"/>
      <c r="I157" s="64"/>
      <c r="J157" s="64"/>
      <c r="K157" s="64"/>
      <c r="L157" s="64"/>
      <c r="M157" s="64"/>
      <c r="N157" s="64"/>
      <c r="O157" s="64"/>
      <c r="P157" s="64"/>
      <c r="Q157" s="64"/>
      <c r="R157" s="64"/>
      <c r="S157" s="64"/>
      <c r="T157" s="64"/>
      <c r="U157" s="64"/>
      <c r="V157" s="64"/>
    </row>
    <row r="158" ht="13.55" customHeight="1">
      <c r="A158" s="60"/>
      <c r="B158" s="93"/>
      <c r="C158" s="65"/>
      <c r="D158" s="65"/>
      <c r="E158" s="65"/>
      <c r="F158" s="64"/>
      <c r="G158" s="64"/>
      <c r="H158" s="64"/>
      <c r="I158" s="64"/>
      <c r="J158" s="64"/>
      <c r="K158" s="64"/>
      <c r="L158" s="64"/>
      <c r="M158" s="64"/>
      <c r="N158" s="64"/>
      <c r="O158" s="64"/>
      <c r="P158" s="64"/>
      <c r="Q158" s="64"/>
      <c r="R158" s="64"/>
      <c r="S158" s="64"/>
      <c r="T158" s="64"/>
      <c r="U158" s="64"/>
      <c r="V158" s="64"/>
    </row>
    <row r="159" ht="13.55" customHeight="1">
      <c r="A159" s="60"/>
      <c r="B159" s="93"/>
      <c r="C159" s="65"/>
      <c r="D159" s="65"/>
      <c r="E159" s="65"/>
      <c r="F159" s="64"/>
      <c r="G159" s="64"/>
      <c r="H159" s="64"/>
      <c r="I159" s="64"/>
      <c r="J159" s="64"/>
      <c r="K159" s="64"/>
      <c r="L159" s="64"/>
      <c r="M159" s="64"/>
      <c r="N159" s="64"/>
      <c r="O159" s="64"/>
      <c r="P159" s="64"/>
      <c r="Q159" s="64"/>
      <c r="R159" s="64"/>
      <c r="S159" s="64"/>
      <c r="T159" s="64"/>
      <c r="U159" s="64"/>
      <c r="V159" s="64"/>
    </row>
    <row r="160" ht="13.55" customHeight="1">
      <c r="A160" s="60"/>
      <c r="B160" s="93"/>
      <c r="C160" s="65"/>
      <c r="D160" s="65"/>
      <c r="E160" s="65"/>
      <c r="F160" s="64"/>
      <c r="G160" s="64"/>
      <c r="H160" s="64"/>
      <c r="I160" s="64"/>
      <c r="J160" s="64"/>
      <c r="K160" s="64"/>
      <c r="L160" s="64"/>
      <c r="M160" s="64"/>
      <c r="N160" s="64"/>
      <c r="O160" s="64"/>
      <c r="P160" s="64"/>
      <c r="Q160" s="64"/>
      <c r="R160" s="64"/>
      <c r="S160" s="64"/>
      <c r="T160" s="64"/>
      <c r="U160" s="64"/>
      <c r="V160" s="64"/>
    </row>
    <row r="161" ht="13.55" customHeight="1">
      <c r="A161" s="60"/>
      <c r="B161" s="93"/>
      <c r="C161" s="65"/>
      <c r="D161" s="65"/>
      <c r="E161" s="65"/>
      <c r="F161" s="64"/>
      <c r="G161" s="64"/>
      <c r="H161" s="64"/>
      <c r="I161" s="64"/>
      <c r="J161" s="64"/>
      <c r="K161" s="64"/>
      <c r="L161" s="64"/>
      <c r="M161" s="64"/>
      <c r="N161" s="64"/>
      <c r="O161" s="64"/>
      <c r="P161" s="64"/>
      <c r="Q161" s="64"/>
      <c r="R161" s="64"/>
      <c r="S161" s="64"/>
      <c r="T161" s="64"/>
      <c r="U161" s="64"/>
      <c r="V161" s="64"/>
    </row>
    <row r="162" ht="13.55" customHeight="1">
      <c r="A162" s="60"/>
      <c r="B162" s="93"/>
      <c r="C162" s="65"/>
      <c r="D162" s="65"/>
      <c r="E162" s="65"/>
      <c r="F162" s="64"/>
      <c r="G162" s="64"/>
      <c r="H162" s="64"/>
      <c r="I162" s="64"/>
      <c r="J162" s="64"/>
      <c r="K162" s="64"/>
      <c r="L162" s="64"/>
      <c r="M162" s="64"/>
      <c r="N162" s="64"/>
      <c r="O162" s="64"/>
      <c r="P162" s="64"/>
      <c r="Q162" s="64"/>
      <c r="R162" s="64"/>
      <c r="S162" s="64"/>
      <c r="T162" s="64"/>
      <c r="U162" s="64"/>
      <c r="V162" s="64"/>
    </row>
    <row r="163" ht="13.55" customHeight="1">
      <c r="A163" s="60"/>
      <c r="B163" s="93"/>
      <c r="C163" s="65"/>
      <c r="D163" s="65"/>
      <c r="E163" s="65"/>
      <c r="F163" s="64"/>
      <c r="G163" s="64"/>
      <c r="H163" s="64"/>
      <c r="I163" s="64"/>
      <c r="J163" s="64"/>
      <c r="K163" s="64"/>
      <c r="L163" s="64"/>
      <c r="M163" s="64"/>
      <c r="N163" s="64"/>
      <c r="O163" s="64"/>
      <c r="P163" s="64"/>
      <c r="Q163" s="64"/>
      <c r="R163" s="64"/>
      <c r="S163" s="64"/>
      <c r="T163" s="64"/>
      <c r="U163" s="64"/>
      <c r="V163" s="64"/>
    </row>
    <row r="164" ht="13.55" customHeight="1">
      <c r="A164" s="60"/>
      <c r="B164" s="93"/>
      <c r="C164" s="65"/>
      <c r="D164" s="65"/>
      <c r="E164" s="65"/>
      <c r="F164" s="64"/>
      <c r="G164" s="64"/>
      <c r="H164" s="64"/>
      <c r="I164" s="64"/>
      <c r="J164" s="64"/>
      <c r="K164" s="64"/>
      <c r="L164" s="64"/>
      <c r="M164" s="64"/>
      <c r="N164" s="64"/>
      <c r="O164" s="64"/>
      <c r="P164" s="64"/>
      <c r="Q164" s="64"/>
      <c r="R164" s="64"/>
      <c r="S164" s="64"/>
      <c r="T164" s="64"/>
      <c r="U164" s="64"/>
      <c r="V164" s="64"/>
    </row>
    <row r="165" ht="13.55" customHeight="1">
      <c r="A165" s="60"/>
      <c r="B165" s="93"/>
      <c r="C165" s="65"/>
      <c r="D165" s="65"/>
      <c r="E165" s="65"/>
      <c r="F165" s="64"/>
      <c r="G165" s="64"/>
      <c r="H165" s="64"/>
      <c r="I165" s="64"/>
      <c r="J165" s="64"/>
      <c r="K165" s="64"/>
      <c r="L165" s="64"/>
      <c r="M165" s="64"/>
      <c r="N165" s="64"/>
      <c r="O165" s="64"/>
      <c r="P165" s="64"/>
      <c r="Q165" s="64"/>
      <c r="R165" s="64"/>
      <c r="S165" s="64"/>
      <c r="T165" s="64"/>
      <c r="U165" s="64"/>
      <c r="V165" s="64"/>
    </row>
    <row r="166" ht="13.55" customHeight="1">
      <c r="A166" s="60"/>
      <c r="B166" s="93"/>
      <c r="C166" s="65"/>
      <c r="D166" s="65"/>
      <c r="E166" s="65"/>
      <c r="F166" s="64"/>
      <c r="G166" s="64"/>
      <c r="H166" s="64"/>
      <c r="I166" s="64"/>
      <c r="J166" s="64"/>
      <c r="K166" s="64"/>
      <c r="L166" s="64"/>
      <c r="M166" s="64"/>
      <c r="N166" s="64"/>
      <c r="O166" s="64"/>
      <c r="P166" s="64"/>
      <c r="Q166" s="64"/>
      <c r="R166" s="64"/>
      <c r="S166" s="64"/>
      <c r="T166" s="64"/>
      <c r="U166" s="64"/>
      <c r="V166" s="64"/>
    </row>
    <row r="167" ht="13.55" customHeight="1">
      <c r="A167" s="60"/>
      <c r="B167" s="93"/>
      <c r="C167" s="65"/>
      <c r="D167" s="65"/>
      <c r="E167" s="65"/>
      <c r="F167" s="64"/>
      <c r="G167" s="64"/>
      <c r="H167" s="64"/>
      <c r="I167" s="64"/>
      <c r="J167" s="64"/>
      <c r="K167" s="64"/>
      <c r="L167" s="64"/>
      <c r="M167" s="64"/>
      <c r="N167" s="64"/>
      <c r="O167" s="64"/>
      <c r="P167" s="64"/>
      <c r="Q167" s="64"/>
      <c r="R167" s="64"/>
      <c r="S167" s="64"/>
      <c r="T167" s="64"/>
      <c r="U167" s="64"/>
      <c r="V167" s="64"/>
    </row>
    <row r="168" ht="13.55" customHeight="1">
      <c r="A168" s="60"/>
      <c r="B168" s="93"/>
      <c r="C168" s="65"/>
      <c r="D168" s="65"/>
      <c r="E168" s="65"/>
      <c r="F168" s="64"/>
      <c r="G168" s="64"/>
      <c r="H168" s="64"/>
      <c r="I168" s="64"/>
      <c r="J168" s="64"/>
      <c r="K168" s="64"/>
      <c r="L168" s="64"/>
      <c r="M168" s="64"/>
      <c r="N168" s="64"/>
      <c r="O168" s="64"/>
      <c r="P168" s="64"/>
      <c r="Q168" s="64"/>
      <c r="R168" s="64"/>
      <c r="S168" s="64"/>
      <c r="T168" s="64"/>
      <c r="U168" s="64"/>
      <c r="V168" s="64"/>
    </row>
    <row r="169" ht="13.55" customHeight="1">
      <c r="A169" s="60"/>
      <c r="B169" s="93"/>
      <c r="C169" s="65"/>
      <c r="D169" s="65"/>
      <c r="E169" s="65"/>
      <c r="F169" s="64"/>
      <c r="G169" s="64"/>
      <c r="H169" s="64"/>
      <c r="I169" s="64"/>
      <c r="J169" s="64"/>
      <c r="K169" s="64"/>
      <c r="L169" s="64"/>
      <c r="M169" s="64"/>
      <c r="N169" s="64"/>
      <c r="O169" s="64"/>
      <c r="P169" s="64"/>
      <c r="Q169" s="64"/>
      <c r="R169" s="64"/>
      <c r="S169" s="64"/>
      <c r="T169" s="64"/>
      <c r="U169" s="64"/>
      <c r="V169" s="64"/>
    </row>
    <row r="170" ht="13.55" customHeight="1">
      <c r="A170" s="60"/>
      <c r="B170" s="93"/>
      <c r="C170" s="65"/>
      <c r="D170" s="65"/>
      <c r="E170" s="65"/>
      <c r="F170" s="64"/>
      <c r="G170" s="64"/>
      <c r="H170" s="64"/>
      <c r="I170" s="64"/>
      <c r="J170" s="64"/>
      <c r="K170" s="64"/>
      <c r="L170" s="64"/>
      <c r="M170" s="64"/>
      <c r="N170" s="64"/>
      <c r="O170" s="64"/>
      <c r="P170" s="64"/>
      <c r="Q170" s="64"/>
      <c r="R170" s="64"/>
      <c r="S170" s="64"/>
      <c r="T170" s="64"/>
      <c r="U170" s="64"/>
      <c r="V170" s="64"/>
    </row>
    <row r="171" ht="13.55" customHeight="1">
      <c r="A171" s="60"/>
      <c r="B171" s="93"/>
      <c r="C171" s="65"/>
      <c r="D171" s="65"/>
      <c r="E171" s="65"/>
      <c r="F171" s="64"/>
      <c r="G171" s="64"/>
      <c r="H171" s="64"/>
      <c r="I171" s="64"/>
      <c r="J171" s="64"/>
      <c r="K171" s="64"/>
      <c r="L171" s="64"/>
      <c r="M171" s="64"/>
      <c r="N171" s="64"/>
      <c r="O171" s="64"/>
      <c r="P171" s="64"/>
      <c r="Q171" s="64"/>
      <c r="R171" s="64"/>
      <c r="S171" s="64"/>
      <c r="T171" s="64"/>
      <c r="U171" s="64"/>
      <c r="V171" s="64"/>
    </row>
    <row r="172" ht="13.55" customHeight="1">
      <c r="A172" s="60"/>
      <c r="B172" s="93"/>
      <c r="C172" s="65"/>
      <c r="D172" s="65"/>
      <c r="E172" s="65"/>
      <c r="F172" s="64"/>
      <c r="G172" s="64"/>
      <c r="H172" s="64"/>
      <c r="I172" s="64"/>
      <c r="J172" s="64"/>
      <c r="K172" s="64"/>
      <c r="L172" s="64"/>
      <c r="M172" s="64"/>
      <c r="N172" s="64"/>
      <c r="O172" s="64"/>
      <c r="P172" s="64"/>
      <c r="Q172" s="64"/>
      <c r="R172" s="64"/>
      <c r="S172" s="64"/>
      <c r="T172" s="64"/>
      <c r="U172" s="64"/>
      <c r="V172" s="64"/>
    </row>
    <row r="173" ht="13.55" customHeight="1">
      <c r="A173" s="60"/>
      <c r="B173" s="93"/>
      <c r="C173" s="65"/>
      <c r="D173" s="65"/>
      <c r="E173" s="65"/>
      <c r="F173" s="64"/>
      <c r="G173" s="64"/>
      <c r="H173" s="64"/>
      <c r="I173" s="64"/>
      <c r="J173" s="64"/>
      <c r="K173" s="64"/>
      <c r="L173" s="64"/>
      <c r="M173" s="64"/>
      <c r="N173" s="64"/>
      <c r="O173" s="64"/>
      <c r="P173" s="64"/>
      <c r="Q173" s="64"/>
      <c r="R173" s="64"/>
      <c r="S173" s="64"/>
      <c r="T173" s="64"/>
      <c r="U173" s="64"/>
      <c r="V173" s="64"/>
    </row>
    <row r="174" ht="13.55" customHeight="1">
      <c r="A174" s="60"/>
      <c r="B174" s="93"/>
      <c r="C174" s="65"/>
      <c r="D174" s="65"/>
      <c r="E174" s="65"/>
      <c r="F174" s="64"/>
      <c r="G174" s="64"/>
      <c r="H174" s="64"/>
      <c r="I174" s="64"/>
      <c r="J174" s="64"/>
      <c r="K174" s="64"/>
      <c r="L174" s="64"/>
      <c r="M174" s="64"/>
      <c r="N174" s="64"/>
      <c r="O174" s="64"/>
      <c r="P174" s="64"/>
      <c r="Q174" s="64"/>
      <c r="R174" s="64"/>
      <c r="S174" s="64"/>
      <c r="T174" s="64"/>
      <c r="U174" s="64"/>
      <c r="V174" s="64"/>
    </row>
    <row r="175" ht="13.55" customHeight="1">
      <c r="A175" s="60"/>
      <c r="B175" s="93"/>
      <c r="C175" s="65"/>
      <c r="D175" s="65"/>
      <c r="E175" s="65"/>
      <c r="F175" s="64"/>
      <c r="G175" s="64"/>
      <c r="H175" s="64"/>
      <c r="I175" s="64"/>
      <c r="J175" s="64"/>
      <c r="K175" s="64"/>
      <c r="L175" s="64"/>
      <c r="M175" s="64"/>
      <c r="N175" s="64"/>
      <c r="O175" s="64"/>
      <c r="P175" s="64"/>
      <c r="Q175" s="64"/>
      <c r="R175" s="64"/>
      <c r="S175" s="64"/>
      <c r="T175" s="64"/>
      <c r="U175" s="64"/>
      <c r="V175" s="64"/>
    </row>
    <row r="176" ht="13.55" customHeight="1">
      <c r="A176" s="60"/>
      <c r="B176" s="93"/>
      <c r="C176" s="65"/>
      <c r="D176" s="65"/>
      <c r="E176" s="65"/>
      <c r="F176" s="64"/>
      <c r="G176" s="64"/>
      <c r="H176" s="64"/>
      <c r="I176" s="64"/>
      <c r="J176" s="64"/>
      <c r="K176" s="64"/>
      <c r="L176" s="64"/>
      <c r="M176" s="64"/>
      <c r="N176" s="64"/>
      <c r="O176" s="64"/>
      <c r="P176" s="64"/>
      <c r="Q176" s="64"/>
      <c r="R176" s="64"/>
      <c r="S176" s="64"/>
      <c r="T176" s="64"/>
      <c r="U176" s="64"/>
      <c r="V176" s="64"/>
    </row>
    <row r="177" ht="13.55" customHeight="1">
      <c r="A177" s="60"/>
      <c r="B177" s="93"/>
      <c r="C177" s="65"/>
      <c r="D177" s="65"/>
      <c r="E177" s="65"/>
      <c r="F177" s="64"/>
      <c r="G177" s="64"/>
      <c r="H177" s="64"/>
      <c r="I177" s="64"/>
      <c r="J177" s="64"/>
      <c r="K177" s="64"/>
      <c r="L177" s="64"/>
      <c r="M177" s="64"/>
      <c r="N177" s="64"/>
      <c r="O177" s="64"/>
      <c r="P177" s="64"/>
      <c r="Q177" s="64"/>
      <c r="R177" s="64"/>
      <c r="S177" s="64"/>
      <c r="T177" s="64"/>
      <c r="U177" s="64"/>
      <c r="V177" s="64"/>
    </row>
    <row r="178" ht="13.55" customHeight="1">
      <c r="A178" s="60"/>
      <c r="B178" s="93"/>
      <c r="C178" s="65"/>
      <c r="D178" s="65"/>
      <c r="E178" s="65"/>
      <c r="F178" s="64"/>
      <c r="G178" s="64"/>
      <c r="H178" s="64"/>
      <c r="I178" s="64"/>
      <c r="J178" s="64"/>
      <c r="K178" s="64"/>
      <c r="L178" s="64"/>
      <c r="M178" s="64"/>
      <c r="N178" s="64"/>
      <c r="O178" s="64"/>
      <c r="P178" s="64"/>
      <c r="Q178" s="64"/>
      <c r="R178" s="64"/>
      <c r="S178" s="64"/>
      <c r="T178" s="64"/>
      <c r="U178" s="64"/>
      <c r="V178" s="64"/>
    </row>
    <row r="179" ht="13.55" customHeight="1">
      <c r="A179" s="60"/>
      <c r="B179" s="93"/>
      <c r="C179" s="65"/>
      <c r="D179" s="65"/>
      <c r="E179" s="65"/>
      <c r="F179" s="64"/>
      <c r="G179" s="64"/>
      <c r="H179" s="64"/>
      <c r="I179" s="64"/>
      <c r="J179" s="64"/>
      <c r="K179" s="64"/>
      <c r="L179" s="64"/>
      <c r="M179" s="64"/>
      <c r="N179" s="64"/>
      <c r="O179" s="64"/>
      <c r="P179" s="64"/>
      <c r="Q179" s="64"/>
      <c r="R179" s="64"/>
      <c r="S179" s="64"/>
      <c r="T179" s="64"/>
      <c r="U179" s="64"/>
      <c r="V179" s="64"/>
    </row>
    <row r="180" ht="13.55" customHeight="1">
      <c r="A180" s="60"/>
      <c r="B180" s="93"/>
      <c r="C180" s="65"/>
      <c r="D180" s="65"/>
      <c r="E180" s="65"/>
      <c r="F180" s="64"/>
      <c r="G180" s="64"/>
      <c r="H180" s="64"/>
      <c r="I180" s="64"/>
      <c r="J180" s="64"/>
      <c r="K180" s="64"/>
      <c r="L180" s="64"/>
      <c r="M180" s="64"/>
      <c r="N180" s="64"/>
      <c r="O180" s="64"/>
      <c r="P180" s="64"/>
      <c r="Q180" s="64"/>
      <c r="R180" s="64"/>
      <c r="S180" s="64"/>
      <c r="T180" s="64"/>
      <c r="U180" s="64"/>
      <c r="V180" s="64"/>
    </row>
    <row r="181" ht="13.55" customHeight="1">
      <c r="A181" s="60"/>
      <c r="B181" s="93"/>
      <c r="C181" s="65"/>
      <c r="D181" s="65"/>
      <c r="E181" s="65"/>
      <c r="F181" s="64"/>
      <c r="G181" s="64"/>
      <c r="H181" s="64"/>
      <c r="I181" s="64"/>
      <c r="J181" s="64"/>
      <c r="K181" s="64"/>
      <c r="L181" s="64"/>
      <c r="M181" s="64"/>
      <c r="N181" s="64"/>
      <c r="O181" s="64"/>
      <c r="P181" s="64"/>
      <c r="Q181" s="64"/>
      <c r="R181" s="64"/>
      <c r="S181" s="64"/>
      <c r="T181" s="64"/>
      <c r="U181" s="64"/>
      <c r="V181" s="64"/>
    </row>
    <row r="182" ht="13.55" customHeight="1">
      <c r="A182" s="60"/>
      <c r="B182" s="93"/>
      <c r="C182" s="65"/>
      <c r="D182" s="65"/>
      <c r="E182" s="65"/>
      <c r="F182" s="64"/>
      <c r="G182" s="64"/>
      <c r="H182" s="64"/>
      <c r="I182" s="64"/>
      <c r="J182" s="64"/>
      <c r="K182" s="64"/>
      <c r="L182" s="64"/>
      <c r="M182" s="64"/>
      <c r="N182" s="64"/>
      <c r="O182" s="64"/>
      <c r="P182" s="64"/>
      <c r="Q182" s="64"/>
      <c r="R182" s="64"/>
      <c r="S182" s="64"/>
      <c r="T182" s="64"/>
      <c r="U182" s="64"/>
      <c r="V182" s="64"/>
    </row>
    <row r="183" ht="13.55" customHeight="1">
      <c r="A183" s="60"/>
      <c r="B183" s="93"/>
      <c r="C183" s="65"/>
      <c r="D183" s="65"/>
      <c r="E183" s="65"/>
      <c r="F183" s="64"/>
      <c r="G183" s="64"/>
      <c r="H183" s="64"/>
      <c r="I183" s="64"/>
      <c r="J183" s="64"/>
      <c r="K183" s="64"/>
      <c r="L183" s="64"/>
      <c r="M183" s="64"/>
      <c r="N183" s="64"/>
      <c r="O183" s="64"/>
      <c r="P183" s="64"/>
      <c r="Q183" s="64"/>
      <c r="R183" s="64"/>
      <c r="S183" s="64"/>
      <c r="T183" s="64"/>
      <c r="U183" s="64"/>
      <c r="V183" s="64"/>
    </row>
    <row r="184" ht="13.55" customHeight="1">
      <c r="A184" s="60"/>
      <c r="B184" s="93"/>
      <c r="C184" s="65"/>
      <c r="D184" s="65"/>
      <c r="E184" s="65"/>
      <c r="F184" s="64"/>
      <c r="G184" s="64"/>
      <c r="H184" s="64"/>
      <c r="I184" s="64"/>
      <c r="J184" s="64"/>
      <c r="K184" s="64"/>
      <c r="L184" s="64"/>
      <c r="M184" s="64"/>
      <c r="N184" s="64"/>
      <c r="O184" s="64"/>
      <c r="P184" s="64"/>
      <c r="Q184" s="64"/>
      <c r="R184" s="64"/>
      <c r="S184" s="64"/>
      <c r="T184" s="64"/>
      <c r="U184" s="64"/>
      <c r="V184" s="64"/>
    </row>
    <row r="185" ht="13.55" customHeight="1">
      <c r="A185" s="60"/>
      <c r="B185" s="93"/>
      <c r="C185" s="65"/>
      <c r="D185" s="65"/>
      <c r="E185" s="65"/>
      <c r="F185" s="64"/>
      <c r="G185" s="64"/>
      <c r="H185" s="64"/>
      <c r="I185" s="64"/>
      <c r="J185" s="64"/>
      <c r="K185" s="64"/>
      <c r="L185" s="64"/>
      <c r="M185" s="64"/>
      <c r="N185" s="64"/>
      <c r="O185" s="64"/>
      <c r="P185" s="64"/>
      <c r="Q185" s="64"/>
      <c r="R185" s="64"/>
      <c r="S185" s="64"/>
      <c r="T185" s="64"/>
      <c r="U185" s="64"/>
      <c r="V185" s="64"/>
    </row>
    <row r="186" ht="13.55" customHeight="1">
      <c r="A186" s="60"/>
      <c r="B186" s="93"/>
      <c r="C186" s="65"/>
      <c r="D186" s="65"/>
      <c r="E186" s="65"/>
      <c r="F186" s="64"/>
      <c r="G186" s="64"/>
      <c r="H186" s="64"/>
      <c r="I186" s="64"/>
      <c r="J186" s="64"/>
      <c r="K186" s="64"/>
      <c r="L186" s="64"/>
      <c r="M186" s="64"/>
      <c r="N186" s="64"/>
      <c r="O186" s="64"/>
      <c r="P186" s="64"/>
      <c r="Q186" s="64"/>
      <c r="R186" s="64"/>
      <c r="S186" s="64"/>
      <c r="T186" s="64"/>
      <c r="U186" s="64"/>
      <c r="V186" s="64"/>
    </row>
    <row r="187" ht="13.55" customHeight="1">
      <c r="A187" s="60"/>
      <c r="B187" s="93"/>
      <c r="C187" s="65"/>
      <c r="D187" s="65"/>
      <c r="E187" s="65"/>
      <c r="F187" s="64"/>
      <c r="G187" s="64"/>
      <c r="H187" s="64"/>
      <c r="I187" s="64"/>
      <c r="J187" s="64"/>
      <c r="K187" s="64"/>
      <c r="L187" s="64"/>
      <c r="M187" s="64"/>
      <c r="N187" s="64"/>
      <c r="O187" s="64"/>
      <c r="P187" s="64"/>
      <c r="Q187" s="64"/>
      <c r="R187" s="64"/>
      <c r="S187" s="64"/>
      <c r="T187" s="64"/>
      <c r="U187" s="64"/>
      <c r="V187" s="64"/>
    </row>
    <row r="188" ht="13.55" customHeight="1">
      <c r="A188" s="60"/>
      <c r="B188" s="93"/>
      <c r="C188" s="65"/>
      <c r="D188" s="65"/>
      <c r="E188" s="65"/>
      <c r="F188" s="64"/>
      <c r="G188" s="64"/>
      <c r="H188" s="64"/>
      <c r="I188" s="64"/>
      <c r="J188" s="64"/>
      <c r="K188" s="64"/>
      <c r="L188" s="64"/>
      <c r="M188" s="64"/>
      <c r="N188" s="64"/>
      <c r="O188" s="64"/>
      <c r="P188" s="64"/>
      <c r="Q188" s="64"/>
      <c r="R188" s="64"/>
      <c r="S188" s="64"/>
      <c r="T188" s="64"/>
      <c r="U188" s="64"/>
      <c r="V188" s="64"/>
    </row>
    <row r="189" ht="13.55" customHeight="1">
      <c r="A189" s="60"/>
      <c r="B189" s="93"/>
      <c r="C189" s="65"/>
      <c r="D189" s="65"/>
      <c r="E189" s="65"/>
      <c r="F189" s="64"/>
      <c r="G189" s="64"/>
      <c r="H189" s="64"/>
      <c r="I189" s="64"/>
      <c r="J189" s="64"/>
      <c r="K189" s="64"/>
      <c r="L189" s="64"/>
      <c r="M189" s="64"/>
      <c r="N189" s="64"/>
      <c r="O189" s="64"/>
      <c r="P189" s="64"/>
      <c r="Q189" s="64"/>
      <c r="R189" s="64"/>
      <c r="S189" s="64"/>
      <c r="T189" s="64"/>
      <c r="U189" s="64"/>
      <c r="V189" s="64"/>
    </row>
    <row r="190" ht="13.55" customHeight="1">
      <c r="A190" s="60"/>
      <c r="B190" s="93"/>
      <c r="C190" s="65"/>
      <c r="D190" s="65"/>
      <c r="E190" s="65"/>
      <c r="F190" s="64"/>
      <c r="G190" s="64"/>
      <c r="H190" s="64"/>
      <c r="I190" s="64"/>
      <c r="J190" s="64"/>
      <c r="K190" s="64"/>
      <c r="L190" s="64"/>
      <c r="M190" s="64"/>
      <c r="N190" s="64"/>
      <c r="O190" s="64"/>
      <c r="P190" s="64"/>
      <c r="Q190" s="64"/>
      <c r="R190" s="64"/>
      <c r="S190" s="64"/>
      <c r="T190" s="64"/>
      <c r="U190" s="64"/>
      <c r="V190" s="64"/>
    </row>
    <row r="191" ht="13.55" customHeight="1">
      <c r="A191" s="60"/>
      <c r="B191" s="93"/>
      <c r="C191" s="65"/>
      <c r="D191" s="65"/>
      <c r="E191" s="65"/>
      <c r="F191" s="64"/>
      <c r="G191" s="64"/>
      <c r="H191" s="64"/>
      <c r="I191" s="64"/>
      <c r="J191" s="64"/>
      <c r="K191" s="64"/>
      <c r="L191" s="64"/>
      <c r="M191" s="64"/>
      <c r="N191" s="64"/>
      <c r="O191" s="64"/>
      <c r="P191" s="64"/>
      <c r="Q191" s="64"/>
      <c r="R191" s="64"/>
      <c r="S191" s="64"/>
      <c r="T191" s="64"/>
      <c r="U191" s="64"/>
      <c r="V191" s="64"/>
    </row>
    <row r="192" ht="13.55" customHeight="1">
      <c r="A192" s="60"/>
      <c r="B192" s="93"/>
      <c r="C192" s="65"/>
      <c r="D192" s="65"/>
      <c r="E192" s="65"/>
      <c r="F192" s="64"/>
      <c r="G192" s="64"/>
      <c r="H192" s="64"/>
      <c r="I192" s="64"/>
      <c r="J192" s="64"/>
      <c r="K192" s="64"/>
      <c r="L192" s="64"/>
      <c r="M192" s="64"/>
      <c r="N192" s="64"/>
      <c r="O192" s="64"/>
      <c r="P192" s="64"/>
      <c r="Q192" s="64"/>
      <c r="R192" s="64"/>
      <c r="S192" s="64"/>
      <c r="T192" s="64"/>
      <c r="U192" s="64"/>
      <c r="V192" s="64"/>
    </row>
    <row r="193" ht="13.55" customHeight="1">
      <c r="A193" s="60"/>
      <c r="B193" s="93"/>
      <c r="C193" s="65"/>
      <c r="D193" s="65"/>
      <c r="E193" s="65"/>
      <c r="F193" s="64"/>
      <c r="G193" s="64"/>
      <c r="H193" s="64"/>
      <c r="I193" s="64"/>
      <c r="J193" s="64"/>
      <c r="K193" s="64"/>
      <c r="L193" s="64"/>
      <c r="M193" s="64"/>
      <c r="N193" s="64"/>
      <c r="O193" s="64"/>
      <c r="P193" s="64"/>
      <c r="Q193" s="64"/>
      <c r="R193" s="64"/>
      <c r="S193" s="64"/>
      <c r="T193" s="64"/>
      <c r="U193" s="64"/>
      <c r="V193" s="64"/>
    </row>
    <row r="194" ht="13.55" customHeight="1">
      <c r="A194" s="60"/>
      <c r="B194" s="93"/>
      <c r="C194" s="65"/>
      <c r="D194" s="65"/>
      <c r="E194" s="65"/>
      <c r="F194" s="64"/>
      <c r="G194" s="64"/>
      <c r="H194" s="64"/>
      <c r="I194" s="64"/>
      <c r="J194" s="64"/>
      <c r="K194" s="64"/>
      <c r="L194" s="64"/>
      <c r="M194" s="64"/>
      <c r="N194" s="64"/>
      <c r="O194" s="64"/>
      <c r="P194" s="64"/>
      <c r="Q194" s="64"/>
      <c r="R194" s="64"/>
      <c r="S194" s="64"/>
      <c r="T194" s="64"/>
      <c r="U194" s="64"/>
      <c r="V194" s="64"/>
    </row>
    <row r="195" ht="13.55" customHeight="1">
      <c r="A195" s="60"/>
      <c r="B195" s="93"/>
      <c r="C195" s="65"/>
      <c r="D195" s="65"/>
      <c r="E195" s="65"/>
      <c r="F195" s="64"/>
      <c r="G195" s="64"/>
      <c r="H195" s="64"/>
      <c r="I195" s="64"/>
      <c r="J195" s="64"/>
      <c r="K195" s="64"/>
      <c r="L195" s="64"/>
      <c r="M195" s="64"/>
      <c r="N195" s="64"/>
      <c r="O195" s="64"/>
      <c r="P195" s="64"/>
      <c r="Q195" s="64"/>
      <c r="R195" s="64"/>
      <c r="S195" s="64"/>
      <c r="T195" s="64"/>
      <c r="U195" s="64"/>
      <c r="V195" s="64"/>
    </row>
    <row r="196" ht="13.55" customHeight="1">
      <c r="A196" s="60"/>
      <c r="B196" s="93"/>
      <c r="C196" s="65"/>
      <c r="D196" s="65"/>
      <c r="E196" s="65"/>
      <c r="F196" s="64"/>
      <c r="G196" s="64"/>
      <c r="H196" s="64"/>
      <c r="I196" s="64"/>
      <c r="J196" s="64"/>
      <c r="K196" s="64"/>
      <c r="L196" s="64"/>
      <c r="M196" s="64"/>
      <c r="N196" s="64"/>
      <c r="O196" s="64"/>
      <c r="P196" s="64"/>
      <c r="Q196" s="64"/>
      <c r="R196" s="64"/>
      <c r="S196" s="64"/>
      <c r="T196" s="64"/>
      <c r="U196" s="64"/>
      <c r="V196" s="64"/>
    </row>
    <row r="197" ht="13.55" customHeight="1">
      <c r="A197" s="60"/>
      <c r="B197" s="93"/>
      <c r="C197" s="65"/>
      <c r="D197" s="65"/>
      <c r="E197" s="65"/>
      <c r="F197" s="64"/>
      <c r="G197" s="64"/>
      <c r="H197" s="64"/>
      <c r="I197" s="64"/>
      <c r="J197" s="64"/>
      <c r="K197" s="64"/>
      <c r="L197" s="64"/>
      <c r="M197" s="64"/>
      <c r="N197" s="64"/>
      <c r="O197" s="64"/>
      <c r="P197" s="64"/>
      <c r="Q197" s="64"/>
      <c r="R197" s="64"/>
      <c r="S197" s="64"/>
      <c r="T197" s="64"/>
      <c r="U197" s="64"/>
      <c r="V197" s="64"/>
    </row>
    <row r="198" ht="13.55" customHeight="1">
      <c r="A198" s="60"/>
      <c r="B198" s="93"/>
      <c r="C198" s="65"/>
      <c r="D198" s="65"/>
      <c r="E198" s="65"/>
      <c r="F198" s="64"/>
      <c r="G198" s="64"/>
      <c r="H198" s="64"/>
      <c r="I198" s="64"/>
      <c r="J198" s="64"/>
      <c r="K198" s="64"/>
      <c r="L198" s="64"/>
      <c r="M198" s="64"/>
      <c r="N198" s="64"/>
      <c r="O198" s="64"/>
      <c r="P198" s="64"/>
      <c r="Q198" s="64"/>
      <c r="R198" s="64"/>
      <c r="S198" s="64"/>
      <c r="T198" s="64"/>
      <c r="U198" s="64"/>
      <c r="V198" s="64"/>
    </row>
    <row r="199" ht="13.55" customHeight="1">
      <c r="A199" s="60"/>
      <c r="B199" s="93"/>
      <c r="C199" s="65"/>
      <c r="D199" s="65"/>
      <c r="E199" s="65"/>
      <c r="F199" s="64"/>
      <c r="G199" s="64"/>
      <c r="H199" s="64"/>
      <c r="I199" s="64"/>
      <c r="J199" s="64"/>
      <c r="K199" s="64"/>
      <c r="L199" s="64"/>
      <c r="M199" s="64"/>
      <c r="N199" s="64"/>
      <c r="O199" s="64"/>
      <c r="P199" s="64"/>
      <c r="Q199" s="64"/>
      <c r="R199" s="64"/>
      <c r="S199" s="64"/>
      <c r="T199" s="64"/>
      <c r="U199" s="64"/>
      <c r="V199" s="64"/>
    </row>
    <row r="200" ht="13.55" customHeight="1">
      <c r="A200" s="60"/>
      <c r="B200" s="93"/>
      <c r="C200" s="65"/>
      <c r="D200" s="65"/>
      <c r="E200" s="65"/>
      <c r="F200" s="64"/>
      <c r="G200" s="64"/>
      <c r="H200" s="64"/>
      <c r="I200" s="64"/>
      <c r="J200" s="64"/>
      <c r="K200" s="64"/>
      <c r="L200" s="64"/>
      <c r="M200" s="64"/>
      <c r="N200" s="64"/>
      <c r="O200" s="64"/>
      <c r="P200" s="64"/>
      <c r="Q200" s="64"/>
      <c r="R200" s="64"/>
      <c r="S200" s="64"/>
      <c r="T200" s="64"/>
      <c r="U200" s="64"/>
      <c r="V200" s="64"/>
    </row>
    <row r="201" ht="13.55" customHeight="1">
      <c r="A201" s="60"/>
      <c r="B201" s="93"/>
      <c r="C201" s="65"/>
      <c r="D201" s="65"/>
      <c r="E201" s="65"/>
      <c r="F201" s="64"/>
      <c r="G201" s="64"/>
      <c r="H201" s="64"/>
      <c r="I201" s="64"/>
      <c r="J201" s="64"/>
      <c r="K201" s="64"/>
      <c r="L201" s="64"/>
      <c r="M201" s="64"/>
      <c r="N201" s="64"/>
      <c r="O201" s="64"/>
      <c r="P201" s="64"/>
      <c r="Q201" s="64"/>
      <c r="R201" s="64"/>
      <c r="S201" s="64"/>
      <c r="T201" s="64"/>
      <c r="U201" s="64"/>
      <c r="V201" s="64"/>
    </row>
    <row r="202" ht="13.55" customHeight="1">
      <c r="A202" s="60"/>
      <c r="B202" s="93"/>
      <c r="C202" s="65"/>
      <c r="D202" s="65"/>
      <c r="E202" s="65"/>
      <c r="F202" s="64"/>
      <c r="G202" s="64"/>
      <c r="H202" s="64"/>
      <c r="I202" s="64"/>
      <c r="J202" s="64"/>
      <c r="K202" s="64"/>
      <c r="L202" s="64"/>
      <c r="M202" s="64"/>
      <c r="N202" s="64"/>
      <c r="O202" s="64"/>
      <c r="P202" s="64"/>
      <c r="Q202" s="64"/>
      <c r="R202" s="64"/>
      <c r="S202" s="64"/>
      <c r="T202" s="64"/>
      <c r="U202" s="64"/>
      <c r="V202" s="64"/>
    </row>
    <row r="203" ht="13.55" customHeight="1">
      <c r="A203" s="60"/>
      <c r="B203" s="93"/>
      <c r="C203" s="65"/>
      <c r="D203" s="65"/>
      <c r="E203" s="65"/>
      <c r="F203" s="64"/>
      <c r="G203" s="64"/>
      <c r="H203" s="64"/>
      <c r="I203" s="64"/>
      <c r="J203" s="64"/>
      <c r="K203" s="64"/>
      <c r="L203" s="64"/>
      <c r="M203" s="64"/>
      <c r="N203" s="64"/>
      <c r="O203" s="64"/>
      <c r="P203" s="64"/>
      <c r="Q203" s="64"/>
      <c r="R203" s="64"/>
      <c r="S203" s="64"/>
      <c r="T203" s="64"/>
      <c r="U203" s="64"/>
      <c r="V203" s="64"/>
    </row>
    <row r="204" ht="13.55" customHeight="1">
      <c r="A204" s="60"/>
      <c r="B204" s="93"/>
      <c r="C204" s="65"/>
      <c r="D204" s="65"/>
      <c r="E204" s="65"/>
      <c r="F204" s="64"/>
      <c r="G204" s="64"/>
      <c r="H204" s="64"/>
      <c r="I204" s="64"/>
      <c r="J204" s="64"/>
      <c r="K204" s="64"/>
      <c r="L204" s="64"/>
      <c r="M204" s="64"/>
      <c r="N204" s="64"/>
      <c r="O204" s="64"/>
      <c r="P204" s="64"/>
      <c r="Q204" s="64"/>
      <c r="R204" s="64"/>
      <c r="S204" s="64"/>
      <c r="T204" s="64"/>
      <c r="U204" s="64"/>
      <c r="V204" s="64"/>
    </row>
    <row r="205" ht="13.55" customHeight="1">
      <c r="A205" s="60"/>
      <c r="B205" s="93"/>
      <c r="C205" s="65"/>
      <c r="D205" s="65"/>
      <c r="E205" s="65"/>
      <c r="F205" s="64"/>
      <c r="G205" s="64"/>
      <c r="H205" s="64"/>
      <c r="I205" s="64"/>
      <c r="J205" s="64"/>
      <c r="K205" s="64"/>
      <c r="L205" s="64"/>
      <c r="M205" s="64"/>
      <c r="N205" s="64"/>
      <c r="O205" s="64"/>
      <c r="P205" s="64"/>
      <c r="Q205" s="64"/>
      <c r="R205" s="64"/>
      <c r="S205" s="64"/>
      <c r="T205" s="64"/>
      <c r="U205" s="64"/>
      <c r="V205" s="64"/>
    </row>
  </sheetData>
  <mergeCells count="5">
    <mergeCell ref="A1:F1"/>
    <mergeCell ref="A2:F2"/>
    <mergeCell ref="A4:D4"/>
    <mergeCell ref="A40:E40"/>
    <mergeCell ref="A47:E47"/>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drawing r:id="rId1"/>
</worksheet>
</file>

<file path=xl/worksheets/sheet5.xml><?xml version="1.0" encoding="utf-8"?>
<worksheet xmlns:r="http://schemas.openxmlformats.org/officeDocument/2006/relationships" xmlns="http://schemas.openxmlformats.org/spreadsheetml/2006/main">
  <dimension ref="A1:E39"/>
  <sheetViews>
    <sheetView workbookViewId="0" showGridLines="0" defaultGridColor="1"/>
  </sheetViews>
  <sheetFormatPr defaultColWidth="8.66667" defaultRowHeight="15" customHeight="1" outlineLevelRow="0" outlineLevelCol="0"/>
  <cols>
    <col min="1" max="1" width="3" style="97" customWidth="1"/>
    <col min="2" max="2" width="100" style="97" customWidth="1"/>
    <col min="3" max="5" width="8.67188" style="97" customWidth="1"/>
    <col min="6" max="16384" width="8.67188" style="97" customWidth="1"/>
  </cols>
  <sheetData>
    <row r="1" ht="30" customHeight="1">
      <c r="A1" t="s" s="98">
        <v>104</v>
      </c>
      <c r="B1" s="99"/>
      <c r="C1" s="4"/>
      <c r="D1" s="4"/>
      <c r="E1" s="6"/>
    </row>
    <row r="2" ht="13.55" customHeight="1">
      <c r="A2" t="s" s="100">
        <v>105</v>
      </c>
      <c r="B2" s="101"/>
      <c r="C2" s="9"/>
      <c r="D2" s="9"/>
      <c r="E2" s="11"/>
    </row>
    <row r="3" ht="13.55" customHeight="1">
      <c r="A3" s="12"/>
      <c r="B3" s="10"/>
      <c r="C3" s="9"/>
      <c r="D3" s="9"/>
      <c r="E3" s="11"/>
    </row>
    <row r="4" ht="16.1" customHeight="1">
      <c r="A4" t="s" s="102">
        <v>106</v>
      </c>
      <c r="B4" s="103"/>
      <c r="C4" s="9"/>
      <c r="D4" s="9"/>
      <c r="E4" s="11"/>
    </row>
    <row r="5" ht="75" customHeight="1">
      <c r="A5" t="s" s="104">
        <v>107</v>
      </c>
      <c r="B5" s="105"/>
      <c r="C5" s="9"/>
      <c r="D5" s="9"/>
      <c r="E5" s="11"/>
    </row>
    <row r="6" ht="13.55" customHeight="1">
      <c r="A6" s="12"/>
      <c r="B6" s="10"/>
      <c r="C6" s="9"/>
      <c r="D6" s="9"/>
      <c r="E6" s="11"/>
    </row>
    <row r="7" ht="16.1" customHeight="1">
      <c r="A7" t="s" s="102">
        <v>108</v>
      </c>
      <c r="B7" s="103"/>
      <c r="C7" s="9"/>
      <c r="D7" s="9"/>
      <c r="E7" s="11"/>
    </row>
    <row r="8" ht="30" customHeight="1">
      <c r="A8" t="s" s="104">
        <v>109</v>
      </c>
      <c r="B8" s="105"/>
      <c r="C8" s="9"/>
      <c r="D8" s="9"/>
      <c r="E8" s="11"/>
    </row>
    <row r="9" ht="30" customHeight="1">
      <c r="A9" t="s" s="104">
        <v>110</v>
      </c>
      <c r="B9" s="105"/>
      <c r="C9" s="9"/>
      <c r="D9" s="9"/>
      <c r="E9" s="11"/>
    </row>
    <row r="10" ht="30" customHeight="1">
      <c r="A10" t="s" s="104">
        <v>111</v>
      </c>
      <c r="B10" s="105"/>
      <c r="C10" s="9"/>
      <c r="D10" s="9"/>
      <c r="E10" s="11"/>
    </row>
    <row r="11" ht="45" customHeight="1">
      <c r="A11" t="s" s="104">
        <v>112</v>
      </c>
      <c r="B11" s="105"/>
      <c r="C11" s="9"/>
      <c r="D11" s="9"/>
      <c r="E11" s="11"/>
    </row>
    <row r="12" ht="30" customHeight="1">
      <c r="A12" t="s" s="104">
        <v>113</v>
      </c>
      <c r="B12" s="105"/>
      <c r="C12" s="9"/>
      <c r="D12" s="9"/>
      <c r="E12" s="11"/>
    </row>
    <row r="13" ht="13.55" customHeight="1">
      <c r="A13" s="12"/>
      <c r="B13" s="10"/>
      <c r="C13" s="9"/>
      <c r="D13" s="9"/>
      <c r="E13" s="11"/>
    </row>
    <row r="14" ht="16.1" customHeight="1">
      <c r="A14" t="s" s="102">
        <v>114</v>
      </c>
      <c r="B14" s="103"/>
      <c r="C14" s="9"/>
      <c r="D14" s="9"/>
      <c r="E14" s="11"/>
    </row>
    <row r="15" ht="60" customHeight="1">
      <c r="A15" t="s" s="104">
        <v>115</v>
      </c>
      <c r="B15" s="105"/>
      <c r="C15" s="9"/>
      <c r="D15" s="9"/>
      <c r="E15" s="11"/>
    </row>
    <row r="16" ht="45" customHeight="1">
      <c r="A16" t="s" s="104">
        <v>116</v>
      </c>
      <c r="B16" s="105"/>
      <c r="C16" s="9"/>
      <c r="D16" s="9"/>
      <c r="E16" s="11"/>
    </row>
    <row r="17" ht="13.55" customHeight="1">
      <c r="A17" s="12"/>
      <c r="B17" s="10"/>
      <c r="C17" s="9"/>
      <c r="D17" s="9"/>
      <c r="E17" s="11"/>
    </row>
    <row r="18" ht="16.1" customHeight="1">
      <c r="A18" t="s" s="102">
        <v>117</v>
      </c>
      <c r="B18" s="103"/>
      <c r="C18" s="9"/>
      <c r="D18" s="9"/>
      <c r="E18" s="11"/>
    </row>
    <row r="19" ht="45" customHeight="1">
      <c r="A19" t="s" s="104">
        <v>118</v>
      </c>
      <c r="B19" s="105"/>
      <c r="C19" s="9"/>
      <c r="D19" s="9"/>
      <c r="E19" s="11"/>
    </row>
    <row r="20" ht="60" customHeight="1">
      <c r="A20" t="s" s="104">
        <v>119</v>
      </c>
      <c r="B20" s="105"/>
      <c r="C20" s="9"/>
      <c r="D20" s="9"/>
      <c r="E20" s="11"/>
    </row>
    <row r="21" ht="13.55" customHeight="1">
      <c r="A21" s="12"/>
      <c r="B21" s="10"/>
      <c r="C21" s="9"/>
      <c r="D21" s="9"/>
      <c r="E21" s="11"/>
    </row>
    <row r="22" ht="16.1" customHeight="1">
      <c r="A22" t="s" s="102">
        <v>120</v>
      </c>
      <c r="B22" s="103"/>
      <c r="C22" s="9"/>
      <c r="D22" s="9"/>
      <c r="E22" s="11"/>
    </row>
    <row r="23" ht="45" customHeight="1">
      <c r="A23" t="s" s="104">
        <v>121</v>
      </c>
      <c r="B23" s="105"/>
      <c r="C23" s="9"/>
      <c r="D23" s="9"/>
      <c r="E23" s="11"/>
    </row>
    <row r="24" ht="45" customHeight="1">
      <c r="A24" t="s" s="104">
        <v>122</v>
      </c>
      <c r="B24" s="105"/>
      <c r="C24" s="9"/>
      <c r="D24" s="9"/>
      <c r="E24" s="11"/>
    </row>
    <row r="25" ht="30" customHeight="1">
      <c r="A25" t="s" s="104">
        <v>123</v>
      </c>
      <c r="B25" s="105"/>
      <c r="C25" s="9"/>
      <c r="D25" s="9"/>
      <c r="E25" s="11"/>
    </row>
    <row r="26" ht="13.55" customHeight="1">
      <c r="A26" s="12"/>
      <c r="B26" s="10"/>
      <c r="C26" s="9"/>
      <c r="D26" s="9"/>
      <c r="E26" s="11"/>
    </row>
    <row r="27" ht="16.1" customHeight="1">
      <c r="A27" t="s" s="102">
        <v>124</v>
      </c>
      <c r="B27" s="103"/>
      <c r="C27" s="9"/>
      <c r="D27" s="9"/>
      <c r="E27" s="11"/>
    </row>
    <row r="28" ht="45" customHeight="1">
      <c r="A28" t="s" s="104">
        <v>125</v>
      </c>
      <c r="B28" s="105"/>
      <c r="C28" s="9"/>
      <c r="D28" s="9"/>
      <c r="E28" s="11"/>
    </row>
    <row r="29" ht="30" customHeight="1">
      <c r="A29" t="s" s="104">
        <v>126</v>
      </c>
      <c r="B29" s="105"/>
      <c r="C29" s="9"/>
      <c r="D29" s="9"/>
      <c r="E29" s="11"/>
    </row>
    <row r="30" ht="30" customHeight="1">
      <c r="A30" t="s" s="104">
        <v>127</v>
      </c>
      <c r="B30" s="105"/>
      <c r="C30" s="9"/>
      <c r="D30" s="9"/>
      <c r="E30" s="11"/>
    </row>
    <row r="31" ht="45" customHeight="1">
      <c r="A31" t="s" s="104">
        <v>128</v>
      </c>
      <c r="B31" s="105"/>
      <c r="C31" s="9"/>
      <c r="D31" s="9"/>
      <c r="E31" s="11"/>
    </row>
    <row r="32" ht="30" customHeight="1">
      <c r="A32" t="s" s="104">
        <v>129</v>
      </c>
      <c r="B32" s="105"/>
      <c r="C32" s="9"/>
      <c r="D32" s="9"/>
      <c r="E32" s="11"/>
    </row>
    <row r="33" ht="13.55" customHeight="1">
      <c r="A33" s="12"/>
      <c r="B33" s="10"/>
      <c r="C33" s="9"/>
      <c r="D33" s="9"/>
      <c r="E33" s="11"/>
    </row>
    <row r="34" ht="16.1" customHeight="1">
      <c r="A34" t="s" s="102">
        <v>130</v>
      </c>
      <c r="B34" s="103"/>
      <c r="C34" s="9"/>
      <c r="D34" s="9"/>
      <c r="E34" s="11"/>
    </row>
    <row r="35" ht="30" customHeight="1">
      <c r="A35" t="s" s="104">
        <v>131</v>
      </c>
      <c r="B35" s="105"/>
      <c r="C35" s="9"/>
      <c r="D35" s="9"/>
      <c r="E35" s="11"/>
    </row>
    <row r="36" ht="18" customHeight="1">
      <c r="A36" t="s" s="104">
        <v>132</v>
      </c>
      <c r="B36" s="105"/>
      <c r="C36" s="9"/>
      <c r="D36" s="9"/>
      <c r="E36" s="11"/>
    </row>
    <row r="37" ht="30" customHeight="1">
      <c r="A37" t="s" s="104">
        <v>133</v>
      </c>
      <c r="B37" s="105"/>
      <c r="C37" s="9"/>
      <c r="D37" s="9"/>
      <c r="E37" s="11"/>
    </row>
    <row r="38" ht="45" customHeight="1">
      <c r="A38" t="s" s="104">
        <v>134</v>
      </c>
      <c r="B38" s="105"/>
      <c r="C38" s="9"/>
      <c r="D38" s="9"/>
      <c r="E38" s="11"/>
    </row>
    <row r="39" ht="45" customHeight="1">
      <c r="A39" s="106"/>
      <c r="B39" s="44"/>
      <c r="C39" s="45"/>
      <c r="D39" s="45"/>
      <c r="E39" s="48"/>
    </row>
  </sheetData>
  <mergeCells count="32">
    <mergeCell ref="A1:B1"/>
    <mergeCell ref="A2:B2"/>
    <mergeCell ref="A4:B4"/>
    <mergeCell ref="A5:B5"/>
    <mergeCell ref="A7:B7"/>
    <mergeCell ref="A8:B8"/>
    <mergeCell ref="A9:B9"/>
    <mergeCell ref="A10:B10"/>
    <mergeCell ref="A11:B11"/>
    <mergeCell ref="A12:B12"/>
    <mergeCell ref="A14:B14"/>
    <mergeCell ref="A15:B15"/>
    <mergeCell ref="A16:B16"/>
    <mergeCell ref="A18:B18"/>
    <mergeCell ref="A19:B19"/>
    <mergeCell ref="A20:B20"/>
    <mergeCell ref="A22:B22"/>
    <mergeCell ref="A23:B23"/>
    <mergeCell ref="A24:B24"/>
    <mergeCell ref="A25:B25"/>
    <mergeCell ref="A27:B27"/>
    <mergeCell ref="A28:B28"/>
    <mergeCell ref="A29:B29"/>
    <mergeCell ref="A30:B30"/>
    <mergeCell ref="A31:B31"/>
    <mergeCell ref="A32:B32"/>
    <mergeCell ref="A34:B34"/>
    <mergeCell ref="A35:B35"/>
    <mergeCell ref="A36:B36"/>
    <mergeCell ref="A37:B37"/>
    <mergeCell ref="A38:B38"/>
    <mergeCell ref="A39:B39"/>
  </mergeCells>
  <pageMargins left="0.75" right="0.75" top="1" bottom="1" header="0.511811" footer="0.51181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